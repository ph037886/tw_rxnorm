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code\tw_rxnorm\files\"/>
    </mc:Choice>
  </mc:AlternateContent>
  <xr:revisionPtr revIDLastSave="0" documentId="13_ncr:1_{79CEA7F1-50F9-48F9-A4BC-AD0E3E176A4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4" i="1" l="1"/>
  <c r="R405" i="1"/>
  <c r="R406" i="1" s="1"/>
  <c r="R407" i="1" s="1"/>
  <c r="R402" i="1"/>
  <c r="R403" i="1" s="1"/>
  <c r="R262" i="1"/>
  <c r="R263" i="1" s="1"/>
  <c r="R247" i="1"/>
  <c r="R248" i="1" s="1"/>
  <c r="R197" i="1"/>
  <c r="R234" i="1"/>
  <c r="R233" i="1"/>
  <c r="R231" i="1"/>
  <c r="R232" i="1" s="1"/>
  <c r="R201" i="1"/>
  <c r="R202" i="1" s="1"/>
  <c r="R196" i="1"/>
  <c r="R194" i="1"/>
  <c r="R195" i="1" s="1"/>
  <c r="R165" i="1"/>
  <c r="R163" i="1"/>
  <c r="R164" i="1" s="1"/>
  <c r="R159" i="1"/>
  <c r="R160" i="1" s="1"/>
  <c r="R158" i="1"/>
  <c r="R157" i="1"/>
  <c r="R155" i="1"/>
  <c r="R156" i="1" s="1"/>
  <c r="R151" i="1"/>
  <c r="R152" i="1" s="1"/>
  <c r="R146" i="1"/>
  <c r="R145" i="1"/>
  <c r="R144" i="1"/>
  <c r="R143" i="1"/>
  <c r="R137" i="1"/>
  <c r="R138" i="1" s="1"/>
  <c r="R135" i="1"/>
  <c r="R136" i="1" s="1"/>
  <c r="R129" i="1"/>
  <c r="R130" i="1" s="1"/>
  <c r="R125" i="1"/>
  <c r="R126" i="1" s="1"/>
  <c r="R123" i="1"/>
  <c r="R124" i="1" s="1"/>
  <c r="R113" i="1"/>
  <c r="R114" i="1" s="1"/>
  <c r="R112" i="1"/>
  <c r="R110" i="1"/>
  <c r="R111" i="1" s="1"/>
  <c r="R108" i="1"/>
  <c r="R109" i="1" s="1"/>
  <c r="R103" i="1"/>
  <c r="R104" i="1" s="1"/>
  <c r="R105" i="1" s="1"/>
  <c r="R102" i="1"/>
  <c r="R101" i="1"/>
  <c r="R88" i="1"/>
  <c r="R86" i="1"/>
  <c r="R87" i="1" s="1"/>
  <c r="R83" i="1"/>
  <c r="R84" i="1" s="1"/>
  <c r="R81" i="1"/>
  <c r="R82" i="1" s="1"/>
  <c r="R49" i="1"/>
  <c r="R50" i="1" s="1"/>
  <c r="R51" i="1" s="1"/>
  <c r="R52" i="1" s="1"/>
  <c r="R53" i="1" s="1"/>
  <c r="R41" i="1"/>
  <c r="R42" i="1" s="1"/>
</calcChain>
</file>

<file path=xl/sharedStrings.xml><?xml version="1.0" encoding="utf-8"?>
<sst xmlns="http://schemas.openxmlformats.org/spreadsheetml/2006/main" count="5538" uniqueCount="1422">
  <si>
    <t>院內碼</t>
  </si>
  <si>
    <t>健保碼</t>
  </si>
  <si>
    <t>許可證字號_HIS</t>
  </si>
  <si>
    <t>藥品代號</t>
  </si>
  <si>
    <t>許可證字號</t>
  </si>
  <si>
    <t>單複方</t>
  </si>
  <si>
    <t>成分代碼</t>
  </si>
  <si>
    <t>含量</t>
  </si>
  <si>
    <t>含量單位</t>
  </si>
  <si>
    <t>IN</t>
  </si>
  <si>
    <t>MIN</t>
  </si>
  <si>
    <t>PIN</t>
  </si>
  <si>
    <t>SCDC</t>
  </si>
  <si>
    <t>error</t>
  </si>
  <si>
    <t>EALCA</t>
  </si>
  <si>
    <t>AC43161500</t>
  </si>
  <si>
    <t/>
  </si>
  <si>
    <t>衛署藥製字第043161號</t>
  </si>
  <si>
    <t>複方</t>
  </si>
  <si>
    <t>SODIUM OLEATE</t>
  </si>
  <si>
    <t>9600051420</t>
  </si>
  <si>
    <t>200.000000</t>
  </si>
  <si>
    <t>MG</t>
  </si>
  <si>
    <t>32559</t>
  </si>
  <si>
    <t>IAB</t>
  </si>
  <si>
    <t>JC00009212</t>
  </si>
  <si>
    <t>衛署菌疫製字第000009號</t>
  </si>
  <si>
    <t>B. MULTICINCTUS ANTIVENIN BIVALENT</t>
  </si>
  <si>
    <t>8004001011</t>
  </si>
  <si>
    <t>1000.000000</t>
  </si>
  <si>
    <t>TYROSINE UNITS</t>
  </si>
  <si>
    <t>N. NAJA ATRA ANTIVENIN</t>
  </si>
  <si>
    <t>8004001110</t>
  </si>
  <si>
    <t>ESYMB</t>
  </si>
  <si>
    <t>BC232651E7</t>
  </si>
  <si>
    <t>衛署藥輸字第023265號</t>
  </si>
  <si>
    <t>BUDESONIDE</t>
  </si>
  <si>
    <t>8406002100</t>
  </si>
  <si>
    <t>160.000000</t>
  </si>
  <si>
    <t>MCG</t>
  </si>
  <si>
    <t>19831</t>
  </si>
  <si>
    <t>IN已存在資料</t>
  </si>
  <si>
    <t>FORMOTEROL FUMARATE DIHYDRATE</t>
  </si>
  <si>
    <t>1216003030</t>
  </si>
  <si>
    <t>4.500000</t>
  </si>
  <si>
    <t>998038</t>
  </si>
  <si>
    <t>IDI48</t>
  </si>
  <si>
    <t>BC24219212</t>
  </si>
  <si>
    <t>衛署藥輸字第024219號</t>
  </si>
  <si>
    <t>L-VALINE</t>
  </si>
  <si>
    <t>4020102302</t>
  </si>
  <si>
    <t>1.393000</t>
  </si>
  <si>
    <t>GM</t>
  </si>
  <si>
    <t>11115</t>
  </si>
  <si>
    <t>L-PROLINE</t>
  </si>
  <si>
    <t>4020101802</t>
  </si>
  <si>
    <t>0.595000</t>
  </si>
  <si>
    <t>8737</t>
  </si>
  <si>
    <t>L-PHENYLALANINE</t>
  </si>
  <si>
    <t>4020101702</t>
  </si>
  <si>
    <t>0.570000</t>
  </si>
  <si>
    <t>8156</t>
  </si>
  <si>
    <t>GLYCINE (EQ TO AMINOACETIC ACID)(EQ TO GLYCOCOLL)</t>
  </si>
  <si>
    <t>4020102400</t>
  </si>
  <si>
    <t>0.510000</t>
  </si>
  <si>
    <t>L-SERINE</t>
  </si>
  <si>
    <t>4020101902</t>
  </si>
  <si>
    <t>9671</t>
  </si>
  <si>
    <t>L-TYROSINE</t>
  </si>
  <si>
    <t>4020102202</t>
  </si>
  <si>
    <t>0.300000</t>
  </si>
  <si>
    <t>10962</t>
  </si>
  <si>
    <t>L-TRYPTOPHAN</t>
  </si>
  <si>
    <t>4020102102</t>
  </si>
  <si>
    <t>0.270000</t>
  </si>
  <si>
    <t>10898</t>
  </si>
  <si>
    <t>SODIUM CHLORIDE</t>
  </si>
  <si>
    <t>4012002100</t>
  </si>
  <si>
    <t>5.380000</t>
  </si>
  <si>
    <t>9863</t>
  </si>
  <si>
    <t>SODIUM LACTATE</t>
  </si>
  <si>
    <t>4008000900</t>
  </si>
  <si>
    <t>4.480000</t>
  </si>
  <si>
    <t>56489</t>
  </si>
  <si>
    <t>PIN已存在資料</t>
  </si>
  <si>
    <t>CALCIUM CHLORIDE DIHYDRATE</t>
  </si>
  <si>
    <t>4012000350</t>
  </si>
  <si>
    <t>0.184000</t>
  </si>
  <si>
    <t>221068</t>
  </si>
  <si>
    <t>MAGNESIUM CHLORIDE HEXAHYDRATE (EQ TO MAGNESIUM CHLORIDE 6H2O)</t>
  </si>
  <si>
    <t>4012001550</t>
  </si>
  <si>
    <t>0.051000</t>
  </si>
  <si>
    <t>L-ARGININE</t>
  </si>
  <si>
    <t>4020100302</t>
  </si>
  <si>
    <t>1.071000</t>
  </si>
  <si>
    <t>1992539</t>
  </si>
  <si>
    <t>L-LEUCINE</t>
  </si>
  <si>
    <t>4020101202</t>
  </si>
  <si>
    <t>1.020000</t>
  </si>
  <si>
    <t>6308</t>
  </si>
  <si>
    <t>L-ALANINE</t>
  </si>
  <si>
    <t>4020100202</t>
  </si>
  <si>
    <t>0.951000</t>
  </si>
  <si>
    <t>426</t>
  </si>
  <si>
    <t>L-ISOLEUCINE</t>
  </si>
  <si>
    <t>4020101002</t>
  </si>
  <si>
    <t>0.850000</t>
  </si>
  <si>
    <t>6033</t>
  </si>
  <si>
    <t>L-METHIONINE</t>
  </si>
  <si>
    <t>4020101502</t>
  </si>
  <si>
    <t>2552301</t>
  </si>
  <si>
    <t>LYSINE L- HCL ( EQ TO L-LYSINE HCL)</t>
  </si>
  <si>
    <t>4020101312</t>
  </si>
  <si>
    <t>0.955000</t>
  </si>
  <si>
    <t>L-HISTIDINE</t>
  </si>
  <si>
    <t>4020100902</t>
  </si>
  <si>
    <t>0.714000</t>
  </si>
  <si>
    <t>2621896</t>
  </si>
  <si>
    <t>L-THREONINE</t>
  </si>
  <si>
    <t>4020102002</t>
  </si>
  <si>
    <t>0.646000</t>
  </si>
  <si>
    <t>10524</t>
  </si>
  <si>
    <t>IDI52</t>
  </si>
  <si>
    <t>BC22299221</t>
  </si>
  <si>
    <t>衛署藥輸字第022299號</t>
  </si>
  <si>
    <t>DEXTROSE HYDROUS</t>
  </si>
  <si>
    <t>4020000560</t>
  </si>
  <si>
    <t>2.500000</t>
  </si>
  <si>
    <t>1297771</t>
  </si>
  <si>
    <t>538.000000</t>
  </si>
  <si>
    <t>448.000000</t>
  </si>
  <si>
    <t>CALCIUM CHLORIDE</t>
  </si>
  <si>
    <t>4012000300</t>
  </si>
  <si>
    <t>18.300000</t>
  </si>
  <si>
    <t>1901</t>
  </si>
  <si>
    <t>1667640</t>
  </si>
  <si>
    <t>MAGNESIUM CHLORIDE</t>
  </si>
  <si>
    <t>4012001500</t>
  </si>
  <si>
    <t>5.080000</t>
  </si>
  <si>
    <t>6579</t>
  </si>
  <si>
    <t>1311539</t>
  </si>
  <si>
    <t>ISORT</t>
  </si>
  <si>
    <t>AC40045277</t>
  </si>
  <si>
    <t>衛署藥製字第040045號</t>
  </si>
  <si>
    <t>0.200000</t>
  </si>
  <si>
    <t>POTASSIUM CHLORIDE</t>
  </si>
  <si>
    <t>4012001800</t>
  </si>
  <si>
    <t>8591</t>
  </si>
  <si>
    <t>1789517</t>
  </si>
  <si>
    <t>6.000000</t>
  </si>
  <si>
    <t>3.100000</t>
  </si>
  <si>
    <t>D-Sorbitol</t>
  </si>
  <si>
    <t>9600029602</t>
  </si>
  <si>
    <t>50.000000</t>
  </si>
  <si>
    <t>9945</t>
  </si>
  <si>
    <t>ITAI3</t>
  </si>
  <si>
    <t>AC21629277</t>
  </si>
  <si>
    <t>衛署藥製字第021629號</t>
  </si>
  <si>
    <t>3.570000</t>
  </si>
  <si>
    <t>POTASSIUM ACETATE</t>
  </si>
  <si>
    <t>4008000100</t>
  </si>
  <si>
    <t>1.180000</t>
  </si>
  <si>
    <t>54987</t>
  </si>
  <si>
    <t>SODIUM ACETATE ANHYDROUS</t>
  </si>
  <si>
    <t>4008000650</t>
  </si>
  <si>
    <t>0.660000</t>
  </si>
  <si>
    <t>267453</t>
  </si>
  <si>
    <t>5612002617</t>
  </si>
  <si>
    <t>0.830000</t>
  </si>
  <si>
    <t>DEXTROSE ANHYDROUS</t>
  </si>
  <si>
    <t>4020000550</t>
  </si>
  <si>
    <t>20.000000</t>
  </si>
  <si>
    <t>349730</t>
  </si>
  <si>
    <t>EPASC</t>
  </si>
  <si>
    <t>A023336329</t>
  </si>
  <si>
    <t>衛署藥製字第023336號</t>
  </si>
  <si>
    <t>TOLNAFTATE</t>
  </si>
  <si>
    <t>8404801300</t>
  </si>
  <si>
    <t>10637</t>
  </si>
  <si>
    <t>METHYL SALICYLATE</t>
  </si>
  <si>
    <t>8424400200</t>
  </si>
  <si>
    <t>29787</t>
  </si>
  <si>
    <t>EPATE</t>
  </si>
  <si>
    <t>A022473429</t>
  </si>
  <si>
    <t>衛署藥製字第022473號</t>
  </si>
  <si>
    <t>3.200000</t>
  </si>
  <si>
    <t>1.400000</t>
  </si>
  <si>
    <t>5612002610</t>
  </si>
  <si>
    <t>0.400000</t>
  </si>
  <si>
    <t>BORIC ACID</t>
  </si>
  <si>
    <t>8404600600</t>
  </si>
  <si>
    <t>9.000000</t>
  </si>
  <si>
    <t>1700</t>
  </si>
  <si>
    <t>5228000150</t>
  </si>
  <si>
    <t>1.000000</t>
  </si>
  <si>
    <t>BENZALKONIUM CHLORIDE</t>
  </si>
  <si>
    <t>8404600310</t>
  </si>
  <si>
    <t>0.100000</t>
  </si>
  <si>
    <t>1379</t>
  </si>
  <si>
    <t>IDI12</t>
  </si>
  <si>
    <t>BC22198221</t>
  </si>
  <si>
    <t>衛署藥輸字第022198號</t>
  </si>
  <si>
    <t>25.700000</t>
  </si>
  <si>
    <t>IDI43</t>
  </si>
  <si>
    <t>BC22297214</t>
  </si>
  <si>
    <t>衛署藥輸字第022297號</t>
  </si>
  <si>
    <t>1.500000</t>
  </si>
  <si>
    <t>IDI47</t>
  </si>
  <si>
    <t>BC22298212</t>
  </si>
  <si>
    <t>衛署藥輸字第022298號</t>
  </si>
  <si>
    <t>4.250000</t>
  </si>
  <si>
    <t>OSECO</t>
  </si>
  <si>
    <t>A040833157</t>
  </si>
  <si>
    <t>衛署藥製字第040833號</t>
  </si>
  <si>
    <t>DL-METHYLEPHEDRINE HCL</t>
  </si>
  <si>
    <t>1212001813</t>
  </si>
  <si>
    <t>1311544</t>
  </si>
  <si>
    <t>CHLORPHENIRAMINE MALEATE</t>
  </si>
  <si>
    <t>0400000810</t>
  </si>
  <si>
    <t>54828</t>
  </si>
  <si>
    <t>4800001430</t>
  </si>
  <si>
    <t>5.000000</t>
  </si>
  <si>
    <t>OKODR</t>
  </si>
  <si>
    <t>AC25525100</t>
  </si>
  <si>
    <t>衛署藥製字第025525號</t>
  </si>
  <si>
    <t>GUAIACOL GLYCERYL ETHER (EQ TO GUAIFENESIN)</t>
  </si>
  <si>
    <t>4800001420</t>
  </si>
  <si>
    <t>88.000000</t>
  </si>
  <si>
    <t>CODEINE PHOSPHATE</t>
  </si>
  <si>
    <t>2808800110</t>
  </si>
  <si>
    <t>4.800000</t>
  </si>
  <si>
    <t>2672</t>
  </si>
  <si>
    <t>GLYCYRRHIZA EXTRACT</t>
  </si>
  <si>
    <t>9200004401</t>
  </si>
  <si>
    <t>60.000000</t>
  </si>
  <si>
    <t>42769</t>
  </si>
  <si>
    <t>SENEGA EXTRACT</t>
  </si>
  <si>
    <t>5620000501</t>
  </si>
  <si>
    <t>OCOLI</t>
  </si>
  <si>
    <t>A031011157</t>
  </si>
  <si>
    <t>衛署藥製字第031011號</t>
  </si>
  <si>
    <t>POLYGALA FLUIDEXTRACT</t>
  </si>
  <si>
    <t>4800003821</t>
  </si>
  <si>
    <t>0.012000</t>
  </si>
  <si>
    <t>ML</t>
  </si>
  <si>
    <t>PLATYCODON FLUID EXTRACT</t>
  </si>
  <si>
    <t>4800003630</t>
  </si>
  <si>
    <t>OSTAZ</t>
  </si>
  <si>
    <t>A019353100</t>
  </si>
  <si>
    <t>衛署藥製字第019353號</t>
  </si>
  <si>
    <t>LIPASE</t>
  </si>
  <si>
    <t>5616000900</t>
  </si>
  <si>
    <t>15.000000</t>
  </si>
  <si>
    <t>6406</t>
  </si>
  <si>
    <t>PROZYME 6</t>
  </si>
  <si>
    <t>5616001900</t>
  </si>
  <si>
    <t>5616000780</t>
  </si>
  <si>
    <t>CELLULASE</t>
  </si>
  <si>
    <t>4400000500</t>
  </si>
  <si>
    <t>10.000000</t>
  </si>
  <si>
    <t>2219</t>
  </si>
  <si>
    <t>OUFUR</t>
  </si>
  <si>
    <t>AC43698100</t>
  </si>
  <si>
    <t>衛署藥製字第043698號</t>
  </si>
  <si>
    <t>1008400300</t>
  </si>
  <si>
    <t>100.000000</t>
  </si>
  <si>
    <t>URACIL</t>
  </si>
  <si>
    <t>9600098800</t>
  </si>
  <si>
    <t>224.000000</t>
  </si>
  <si>
    <t>4492</t>
  </si>
  <si>
    <t>ORINA</t>
  </si>
  <si>
    <t>AC37167100</t>
  </si>
  <si>
    <t>衛署藥製字第037167號</t>
  </si>
  <si>
    <t>RIFAMPIN (EQ TO RIFAMPICIN) (EQ TO RIMACTAN)</t>
  </si>
  <si>
    <t>0812900100</t>
  </si>
  <si>
    <t>300.000000</t>
  </si>
  <si>
    <t>9384</t>
  </si>
  <si>
    <t>ISONIAZID</t>
  </si>
  <si>
    <t>0816000900</t>
  </si>
  <si>
    <t>150.000000</t>
  </si>
  <si>
    <t>6038</t>
  </si>
  <si>
    <t>OALRC</t>
  </si>
  <si>
    <t>AC40096162</t>
  </si>
  <si>
    <t>衛署藥製字第040096號</t>
  </si>
  <si>
    <t>5604001300</t>
  </si>
  <si>
    <t>103.000000</t>
  </si>
  <si>
    <t>VITAMIN A</t>
  </si>
  <si>
    <t>8804000100</t>
  </si>
  <si>
    <t>8.000000</t>
  </si>
  <si>
    <t>uL</t>
  </si>
  <si>
    <t>11246</t>
  </si>
  <si>
    <t>35406</t>
  </si>
  <si>
    <t>VITAMIN A (VITAMIN A + VITAMIN D3)</t>
  </si>
  <si>
    <t>8833009100</t>
  </si>
  <si>
    <t>EOTOZ</t>
  </si>
  <si>
    <t>BC23964453</t>
  </si>
  <si>
    <t>衛署藥輸字第023964號</t>
  </si>
  <si>
    <t>POLYMYXIN B SULFATE</t>
  </si>
  <si>
    <t>0812001212</t>
  </si>
  <si>
    <t>10000.000000</t>
  </si>
  <si>
    <t>I.U.</t>
  </si>
  <si>
    <t>388</t>
  </si>
  <si>
    <t>NEOMYCIN SULFATE</t>
  </si>
  <si>
    <t>0812100530</t>
  </si>
  <si>
    <t>7300</t>
  </si>
  <si>
    <t>LIDOCAINE HCL</t>
  </si>
  <si>
    <t>7200001010</t>
  </si>
  <si>
    <t>40.000000</t>
  </si>
  <si>
    <t>142440</t>
  </si>
  <si>
    <t>OLUCK</t>
  </si>
  <si>
    <t>AC283331G0</t>
  </si>
  <si>
    <t>衛署藥製字第028333號</t>
  </si>
  <si>
    <t>5656991100</t>
  </si>
  <si>
    <t>70.000000</t>
  </si>
  <si>
    <t>THIAMINE HYDROCHLORIDE</t>
  </si>
  <si>
    <t>8810100900</t>
  </si>
  <si>
    <t>4.000000</t>
  </si>
  <si>
    <t>235355</t>
  </si>
  <si>
    <t>RIBOFLAVIN (VIT B2)</t>
  </si>
  <si>
    <t>8810200400</t>
  </si>
  <si>
    <t>1925821</t>
  </si>
  <si>
    <t>PYRIDOXINE HCL</t>
  </si>
  <si>
    <t>8810600300</t>
  </si>
  <si>
    <t>203164</t>
  </si>
  <si>
    <t>NIACINAMIDE (NICOTINAMIDE)</t>
  </si>
  <si>
    <t>8810000300</t>
  </si>
  <si>
    <t>12.000000</t>
  </si>
  <si>
    <t>PANTOTHENATE CALCIUM</t>
  </si>
  <si>
    <t>8812300200</t>
  </si>
  <si>
    <t>1792121</t>
  </si>
  <si>
    <t>CYANOCOBALAMIN (VIT B12)</t>
  </si>
  <si>
    <t>8811200300</t>
  </si>
  <si>
    <t>1.200000</t>
  </si>
  <si>
    <t>11248</t>
  </si>
  <si>
    <t>IDI11</t>
  </si>
  <si>
    <t>BC22199221</t>
  </si>
  <si>
    <t>衛署藥輸字第022199號</t>
  </si>
  <si>
    <t>0.000000</t>
  </si>
  <si>
    <t>IDI53</t>
  </si>
  <si>
    <t>BC23687212</t>
  </si>
  <si>
    <t>衛署藥輸字第023687號</t>
  </si>
  <si>
    <t>ICODEXTRIN</t>
  </si>
  <si>
    <t>9200096200</t>
  </si>
  <si>
    <t>75.000000</t>
  </si>
  <si>
    <t>140480</t>
  </si>
  <si>
    <t>0.257000</t>
  </si>
  <si>
    <t>IAT</t>
  </si>
  <si>
    <t>JC00006212</t>
  </si>
  <si>
    <t>衛署菌疫製字第000006號</t>
  </si>
  <si>
    <t>TR. MUCROSQUAMATUS ANTIVENIN</t>
  </si>
  <si>
    <t>8004001210</t>
  </si>
  <si>
    <t>TR. GRAMINEUS ANTIVENIN</t>
  </si>
  <si>
    <t>8004001310</t>
  </si>
  <si>
    <t>EKASU</t>
  </si>
  <si>
    <t>A015762435</t>
  </si>
  <si>
    <t>衛署藥製字第015762號</t>
  </si>
  <si>
    <t>NAPHAZOLINE HCL</t>
  </si>
  <si>
    <t>1212001910</t>
  </si>
  <si>
    <t>0.500000</t>
  </si>
  <si>
    <t>235810</t>
  </si>
  <si>
    <t>IGLY1</t>
  </si>
  <si>
    <t>AC24986265</t>
  </si>
  <si>
    <t>衛署藥製字第024986號</t>
  </si>
  <si>
    <t>9600013500</t>
  </si>
  <si>
    <t>4020000600</t>
  </si>
  <si>
    <t>OAMTR</t>
  </si>
  <si>
    <t>AB46742100</t>
  </si>
  <si>
    <t>衛署藥製字第046742號</t>
  </si>
  <si>
    <t>AMLODIPINE BESYLATE</t>
  </si>
  <si>
    <t>2412402210</t>
  </si>
  <si>
    <t>7.000000</t>
  </si>
  <si>
    <t>104416</t>
  </si>
  <si>
    <t>BENAZEPRIL HYDROCHLORIDE</t>
  </si>
  <si>
    <t>2408004510</t>
  </si>
  <si>
    <t>235758</t>
  </si>
  <si>
    <t>ITAI5</t>
  </si>
  <si>
    <t>AC22682271</t>
  </si>
  <si>
    <t>衛署藥製字第022682號</t>
  </si>
  <si>
    <t>0.820000</t>
  </si>
  <si>
    <t>0.590000</t>
  </si>
  <si>
    <t>1.800000</t>
  </si>
  <si>
    <t>5612001910</t>
  </si>
  <si>
    <t>1.630000</t>
  </si>
  <si>
    <t>OSINS</t>
  </si>
  <si>
    <t>AC20860100</t>
  </si>
  <si>
    <t>衛署藥製字第020860號</t>
  </si>
  <si>
    <t>ORPHENADRINE CITRATE</t>
  </si>
  <si>
    <t>1208003420</t>
  </si>
  <si>
    <t>35.000000</t>
  </si>
  <si>
    <t>7716</t>
  </si>
  <si>
    <t>ACETAMINOPHEN (EQ TO PARACETAMOL)</t>
  </si>
  <si>
    <t>2808000100</t>
  </si>
  <si>
    <t>450.000000</t>
  </si>
  <si>
    <t>161</t>
  </si>
  <si>
    <t>EWINA</t>
  </si>
  <si>
    <t>AC10414417</t>
  </si>
  <si>
    <t>衛署藥製字第010414號</t>
  </si>
  <si>
    <t>NEOMYCIN (SULFATE)</t>
  </si>
  <si>
    <t>0812109530</t>
  </si>
  <si>
    <t>7299</t>
  </si>
  <si>
    <t>TRIAMCINOLONE ACETONIDE</t>
  </si>
  <si>
    <t>6804001610</t>
  </si>
  <si>
    <t>10761</t>
  </si>
  <si>
    <t>OHIRO</t>
  </si>
  <si>
    <t>AC47953100</t>
  </si>
  <si>
    <t>衛署藥製字第047953號</t>
  </si>
  <si>
    <t>PSEUDOEPHEDRINE HCL</t>
  </si>
  <si>
    <t>1212002610</t>
  </si>
  <si>
    <t>120.000000</t>
  </si>
  <si>
    <t>221151</t>
  </si>
  <si>
    <t>0400005810</t>
  </si>
  <si>
    <t>20610</t>
  </si>
  <si>
    <t>EPOSU</t>
  </si>
  <si>
    <t>AC47029500</t>
  </si>
  <si>
    <t>衛署藥製字第047029號</t>
  </si>
  <si>
    <t>9200011000</t>
  </si>
  <si>
    <t>CINCHOCAINE HYDROCHLORIDE</t>
  </si>
  <si>
    <t>9600085600</t>
  </si>
  <si>
    <t>235402</t>
  </si>
  <si>
    <t>EEVAC</t>
  </si>
  <si>
    <t>A034255356</t>
  </si>
  <si>
    <t>衛署藥製字第034255號</t>
  </si>
  <si>
    <t>SODIUM PHOSPHATE MONOBASIC ANHYDROUS</t>
  </si>
  <si>
    <t>5612002615</t>
  </si>
  <si>
    <t>139.100000</t>
  </si>
  <si>
    <t>349753</t>
  </si>
  <si>
    <t>5612002605</t>
  </si>
  <si>
    <t>31.800000</t>
  </si>
  <si>
    <t>ESERE</t>
  </si>
  <si>
    <t>BC23481157</t>
  </si>
  <si>
    <t>衛署藥輸字第023481號</t>
  </si>
  <si>
    <t>1216002920</t>
  </si>
  <si>
    <t>36.250000</t>
  </si>
  <si>
    <t>FLUTICASONE PROPIONATE MICRONIZED</t>
  </si>
  <si>
    <t>8406002220</t>
  </si>
  <si>
    <t>250.000000</t>
  </si>
  <si>
    <t>OCOMB</t>
  </si>
  <si>
    <t>AC25079100</t>
  </si>
  <si>
    <t>衛署藥製字第025079號</t>
  </si>
  <si>
    <t>0812609360</t>
  </si>
  <si>
    <t>203115</t>
  </si>
  <si>
    <t>0812609715</t>
  </si>
  <si>
    <t>OHIST</t>
  </si>
  <si>
    <t>A013103109</t>
  </si>
  <si>
    <t>衛署藥製字第013103號</t>
  </si>
  <si>
    <t>BROMPHENIRAMINE MALEATE</t>
  </si>
  <si>
    <t>0400000510</t>
  </si>
  <si>
    <t>48936</t>
  </si>
  <si>
    <t>ISOON</t>
  </si>
  <si>
    <t>AC44070297</t>
  </si>
  <si>
    <t>衛署藥製字第044070號</t>
  </si>
  <si>
    <t>AMOXICILLIN (SODIUM)</t>
  </si>
  <si>
    <t>0812609210</t>
  </si>
  <si>
    <t>267360</t>
  </si>
  <si>
    <t>CLAVULANIC ACID (AS POTASSIUM)</t>
  </si>
  <si>
    <t>4410000430</t>
  </si>
  <si>
    <t>OBAKA</t>
  </si>
  <si>
    <t>AC049191G0</t>
  </si>
  <si>
    <t>衛署藥製字第004919號</t>
  </si>
  <si>
    <t>SULFAMETHOXAZOLE</t>
  </si>
  <si>
    <t>0824001500</t>
  </si>
  <si>
    <t>400.000000</t>
  </si>
  <si>
    <t>10180</t>
  </si>
  <si>
    <t>TRIMETHOPRIM</t>
  </si>
  <si>
    <t>0840001700</t>
  </si>
  <si>
    <t>80.000000</t>
  </si>
  <si>
    <t>10829</t>
  </si>
  <si>
    <t>OVENI</t>
  </si>
  <si>
    <t>AC48181100</t>
  </si>
  <si>
    <t>衛署藥製字第048181號</t>
  </si>
  <si>
    <t>ESTRADIOL VALERATE</t>
  </si>
  <si>
    <t>6816500600</t>
  </si>
  <si>
    <t>24395</t>
  </si>
  <si>
    <t>MEDROXYPROGESTERONE ACETATE</t>
  </si>
  <si>
    <t>6832000710</t>
  </si>
  <si>
    <t>1000112</t>
  </si>
  <si>
    <t>OBEND</t>
  </si>
  <si>
    <t>AC42274100</t>
  </si>
  <si>
    <t>衛署藥製字第042274號</t>
  </si>
  <si>
    <t>LEVODOPA</t>
  </si>
  <si>
    <t>1208002900</t>
  </si>
  <si>
    <t>6375</t>
  </si>
  <si>
    <t>BENSERAZIDE HCL</t>
  </si>
  <si>
    <t>4410000210</t>
  </si>
  <si>
    <t>28.550000</t>
  </si>
  <si>
    <t>1374</t>
  </si>
  <si>
    <t>ITAPI</t>
  </si>
  <si>
    <t>AC457042CX</t>
  </si>
  <si>
    <t>衛署藥製字第045704號</t>
  </si>
  <si>
    <t>PIPERACILLIN (SODIUM)</t>
  </si>
  <si>
    <t>0812691910</t>
  </si>
  <si>
    <t>2.000000</t>
  </si>
  <si>
    <t>203134</t>
  </si>
  <si>
    <t>TAZOBACTAM (AS SODIUM)</t>
  </si>
  <si>
    <t>4410000710</t>
  </si>
  <si>
    <t>0.250000</t>
  </si>
  <si>
    <t>221167</t>
  </si>
  <si>
    <t>EBERD</t>
  </si>
  <si>
    <t>BC23473129</t>
  </si>
  <si>
    <t>衛署藥輸字第023473號</t>
  </si>
  <si>
    <t>IPRATROPIUM BROMIDE</t>
  </si>
  <si>
    <t>1208002710</t>
  </si>
  <si>
    <t>0.021000</t>
  </si>
  <si>
    <t>203212</t>
  </si>
  <si>
    <t>FENOTEROL HYDROBROMIDE</t>
  </si>
  <si>
    <t>1212000910</t>
  </si>
  <si>
    <t>0.050000</t>
  </si>
  <si>
    <t>203124</t>
  </si>
  <si>
    <t>IVOLU</t>
  </si>
  <si>
    <t>BC24260277</t>
  </si>
  <si>
    <t>衛署藥輸字第024260號</t>
  </si>
  <si>
    <t>POLY(O-2 HYDROXYETHYL)STARCH (MOLAR SUBS 0.38-0.45; AVERAGE MOLECULAR WEIGHT 130000)</t>
  </si>
  <si>
    <t>9600009068</t>
  </si>
  <si>
    <t>OBIDO</t>
  </si>
  <si>
    <t>AC44602100</t>
  </si>
  <si>
    <t>衛署藥製字第044602號</t>
  </si>
  <si>
    <t>CARBIDOPA</t>
  </si>
  <si>
    <t>2408000400</t>
  </si>
  <si>
    <t>25.000000</t>
  </si>
  <si>
    <t>2019</t>
  </si>
  <si>
    <t>OBROE</t>
  </si>
  <si>
    <t>AC39239100</t>
  </si>
  <si>
    <t>衛署藥製字第039239號</t>
  </si>
  <si>
    <t>BROMELAIN</t>
  </si>
  <si>
    <t>4400000300</t>
  </si>
  <si>
    <t>20000.000000</t>
  </si>
  <si>
    <t>U (UNIT)</t>
  </si>
  <si>
    <t>1752</t>
  </si>
  <si>
    <t>L-CYSTEINE</t>
  </si>
  <si>
    <t>4020100502</t>
  </si>
  <si>
    <t>3024</t>
  </si>
  <si>
    <t>EBESM</t>
  </si>
  <si>
    <t>AC49369114</t>
  </si>
  <si>
    <t>衛署藥製字第049369號</t>
  </si>
  <si>
    <t>SALBUTAMOL (SULFATE)</t>
  </si>
  <si>
    <t>1212009110</t>
  </si>
  <si>
    <t>142153</t>
  </si>
  <si>
    <t>OCURM</t>
  </si>
  <si>
    <t>BB24808100</t>
  </si>
  <si>
    <t>衛署藥輸字第024808號</t>
  </si>
  <si>
    <t>CLAVULANATE POTASSIUM</t>
  </si>
  <si>
    <t>4410000410</t>
  </si>
  <si>
    <t>149.000000</t>
  </si>
  <si>
    <t>831418</t>
  </si>
  <si>
    <t>0812600270</t>
  </si>
  <si>
    <t>875.000000</t>
  </si>
  <si>
    <t>OFERI</t>
  </si>
  <si>
    <t>AC51022100</t>
  </si>
  <si>
    <t>衛署藥製字第051022號</t>
  </si>
  <si>
    <t>POLYSACCHARIDE IRON COMPLEX</t>
  </si>
  <si>
    <t>4026002400</t>
  </si>
  <si>
    <t>326.000000</t>
  </si>
  <si>
    <t>105669</t>
  </si>
  <si>
    <t>FOLIC ACID</t>
  </si>
  <si>
    <t>8811600100</t>
  </si>
  <si>
    <t>4511</t>
  </si>
  <si>
    <t>1025342</t>
  </si>
  <si>
    <t>0.025000</t>
  </si>
  <si>
    <t>EBETA</t>
  </si>
  <si>
    <t>AC45289329</t>
  </si>
  <si>
    <t>衛署藥製字第045289號</t>
  </si>
  <si>
    <t>BETAMETHASONE (AS DIPROPIONATE)</t>
  </si>
  <si>
    <t>6804009220</t>
  </si>
  <si>
    <t>19254</t>
  </si>
  <si>
    <t>SALICYLIC ACID</t>
  </si>
  <si>
    <t>8428000700</t>
  </si>
  <si>
    <t>30.000000</t>
  </si>
  <si>
    <t>7833</t>
  </si>
  <si>
    <t>ISEVA</t>
  </si>
  <si>
    <t>AC12528221</t>
  </si>
  <si>
    <t>衛署藥製字第012528號</t>
  </si>
  <si>
    <t>IEASY</t>
  </si>
  <si>
    <t>AC49695265</t>
  </si>
  <si>
    <t>衛署藥製字第049695號</t>
  </si>
  <si>
    <t>DOPAMINE HCL</t>
  </si>
  <si>
    <t>1212000410</t>
  </si>
  <si>
    <t>1.600000</t>
  </si>
  <si>
    <t>IAMBA</t>
  </si>
  <si>
    <t>AC49655216</t>
  </si>
  <si>
    <t>衛署藥製字第049655號</t>
  </si>
  <si>
    <t>AMPICILLIN (SODIUM)</t>
  </si>
  <si>
    <t>0812609320</t>
  </si>
  <si>
    <t>81953</t>
  </si>
  <si>
    <t>SULBACTAM (SODIUM)</t>
  </si>
  <si>
    <t>4410009510</t>
  </si>
  <si>
    <t>82100</t>
  </si>
  <si>
    <t>ERELV</t>
  </si>
  <si>
    <t>BC26318143</t>
  </si>
  <si>
    <t>衛部藥輸字第026318號</t>
  </si>
  <si>
    <t>Fluticasone furoate (micronised)</t>
  </si>
  <si>
    <t>8406002240</t>
  </si>
  <si>
    <t>Vilanterol trifenatate (micronised)</t>
  </si>
  <si>
    <t>1212005510</t>
  </si>
  <si>
    <t>OMED2</t>
  </si>
  <si>
    <t>AC426051G0</t>
  </si>
  <si>
    <t>衛署藥製字第042605號</t>
  </si>
  <si>
    <t>DEXTROMETHORPHAN HBR</t>
  </si>
  <si>
    <t>4800001010</t>
  </si>
  <si>
    <t>102490</t>
  </si>
  <si>
    <t>POTASSIUM CRESOLSULFONATE</t>
  </si>
  <si>
    <t>4800003700</t>
  </si>
  <si>
    <t>90.000000</t>
  </si>
  <si>
    <t>LYSOZYME CHLORIDE</t>
  </si>
  <si>
    <t>4400001310</t>
  </si>
  <si>
    <t>1311597</t>
  </si>
  <si>
    <t>OCONS</t>
  </si>
  <si>
    <t>AC323721G0</t>
  </si>
  <si>
    <t>衛署藥製字第032372號</t>
  </si>
  <si>
    <t>5612000900</t>
  </si>
  <si>
    <t>SENNOSIDE</t>
  </si>
  <si>
    <t>5612002500</t>
  </si>
  <si>
    <t>36387</t>
  </si>
  <si>
    <t>BISACODYL</t>
  </si>
  <si>
    <t>5612000400</t>
  </si>
  <si>
    <t>1596</t>
  </si>
  <si>
    <t>ECOMI</t>
  </si>
  <si>
    <t>BC24294421</t>
  </si>
  <si>
    <t>衛署藥輸字第024294號</t>
  </si>
  <si>
    <t>BRIMONIDINE TARTRATE</t>
  </si>
  <si>
    <t>2408005310</t>
  </si>
  <si>
    <t>39171</t>
  </si>
  <si>
    <t>TIMOLOL MALEATE</t>
  </si>
  <si>
    <t>1216001910</t>
  </si>
  <si>
    <t>6.800000</t>
  </si>
  <si>
    <t>42933</t>
  </si>
  <si>
    <t>OERGT</t>
  </si>
  <si>
    <t>NC00140100</t>
  </si>
  <si>
    <t>內衛藥製字第000140號</t>
  </si>
  <si>
    <t>ERGOTAMINE TARTRATE</t>
  </si>
  <si>
    <t>1216000910</t>
  </si>
  <si>
    <t>42676</t>
  </si>
  <si>
    <t>CAFFEINE</t>
  </si>
  <si>
    <t>2820000400</t>
  </si>
  <si>
    <t>1886</t>
  </si>
  <si>
    <t>20033</t>
  </si>
  <si>
    <t>OEXFO</t>
  </si>
  <si>
    <t>BC24824100</t>
  </si>
  <si>
    <t>衛署藥輸字第024824號</t>
  </si>
  <si>
    <t>6.940000</t>
  </si>
  <si>
    <t>VALSARTAN</t>
  </si>
  <si>
    <t>2408005100</t>
  </si>
  <si>
    <t>69749</t>
  </si>
  <si>
    <t>IDXLM</t>
  </si>
  <si>
    <t>AC12824277</t>
  </si>
  <si>
    <t>衛署藥製字第012824號</t>
  </si>
  <si>
    <t>DEXTRAN 40</t>
  </si>
  <si>
    <t>4012000700</t>
  </si>
  <si>
    <t>3272</t>
  </si>
  <si>
    <t>DEXTROSE</t>
  </si>
  <si>
    <t>4020000500</t>
  </si>
  <si>
    <t>1363053</t>
  </si>
  <si>
    <t>ODAIY</t>
  </si>
  <si>
    <t>NC049281G0</t>
  </si>
  <si>
    <t>內衛藥製字第004928號</t>
  </si>
  <si>
    <t>THIAMINE DISULFIDE</t>
  </si>
  <si>
    <t>8810100800</t>
  </si>
  <si>
    <t>38041</t>
  </si>
  <si>
    <t>OBOCA</t>
  </si>
  <si>
    <t>AC58037162</t>
  </si>
  <si>
    <t>衛部藥製字第058037號</t>
  </si>
  <si>
    <t>VITAMIN A WATER MISCIBLE</t>
  </si>
  <si>
    <t>8804000103</t>
  </si>
  <si>
    <t>800.000000</t>
  </si>
  <si>
    <t>IU</t>
  </si>
  <si>
    <t>OGLIE</t>
  </si>
  <si>
    <t>AB58071100</t>
  </si>
  <si>
    <t>衛部藥製字第058071號</t>
  </si>
  <si>
    <t>METFORMIN HCL (EQ TO METFORMIN HYDROCHLORIDE)</t>
  </si>
  <si>
    <t>6820400710</t>
  </si>
  <si>
    <t>500.000000</t>
  </si>
  <si>
    <t>6809</t>
  </si>
  <si>
    <t>235743</t>
  </si>
  <si>
    <t>GLIMEPIRIDE</t>
  </si>
  <si>
    <t>6820601200</t>
  </si>
  <si>
    <t>25789</t>
  </si>
  <si>
    <t>OTRA1</t>
  </si>
  <si>
    <t>AC56706100</t>
  </si>
  <si>
    <t>衛署藥製字第056706號</t>
  </si>
  <si>
    <t>TRAMADOL HCL</t>
  </si>
  <si>
    <t>2808202510</t>
  </si>
  <si>
    <t>37.500000</t>
  </si>
  <si>
    <t>10689</t>
  </si>
  <si>
    <t>325.000000</t>
  </si>
  <si>
    <t>OPRAV</t>
  </si>
  <si>
    <t>BC26169100</t>
  </si>
  <si>
    <t>衛部藥輸字第026169號</t>
  </si>
  <si>
    <t>FENOFIBRATE</t>
  </si>
  <si>
    <t>2406002400</t>
  </si>
  <si>
    <t>8703</t>
  </si>
  <si>
    <t>PRAVASTATIN SODIUM</t>
  </si>
  <si>
    <t>2406002710</t>
  </si>
  <si>
    <t>203144</t>
  </si>
  <si>
    <t>OLBM1</t>
  </si>
  <si>
    <t>AC59035157</t>
  </si>
  <si>
    <t>衛部藥製字第059035號</t>
  </si>
  <si>
    <t>GLYCYRRHIZA FLUIDEXTRACT</t>
  </si>
  <si>
    <t>9200004407</t>
  </si>
  <si>
    <t>0.120000</t>
  </si>
  <si>
    <t>OPIUM TINCTURE</t>
  </si>
  <si>
    <t>2808800880</t>
  </si>
  <si>
    <t>221134</t>
  </si>
  <si>
    <t>ANTIMONY POTASSIUM TARTRATE</t>
  </si>
  <si>
    <t>0808002900</t>
  </si>
  <si>
    <t>0.240000</t>
  </si>
  <si>
    <t>981</t>
  </si>
  <si>
    <t>OAMAM</t>
  </si>
  <si>
    <t>BA24876100</t>
  </si>
  <si>
    <t>衛署藥輸字第024876號</t>
  </si>
  <si>
    <t>OSEVI</t>
  </si>
  <si>
    <t>BC24929100</t>
  </si>
  <si>
    <t>衛署藥輸字第024929號</t>
  </si>
  <si>
    <t>6.944000</t>
  </si>
  <si>
    <t>OLMESARTAN MEDOXOMIL</t>
  </si>
  <si>
    <t>2408005910</t>
  </si>
  <si>
    <t>118463</t>
  </si>
  <si>
    <t>EXAMI</t>
  </si>
  <si>
    <t>BC25159343</t>
  </si>
  <si>
    <t>衛署藥輸字第025159號</t>
  </si>
  <si>
    <t>CALCIPOTRIOL</t>
  </si>
  <si>
    <t>9200035900</t>
  </si>
  <si>
    <t>OTWYN</t>
  </si>
  <si>
    <t>BC25446100</t>
  </si>
  <si>
    <t>衛署藥輸字第025446號</t>
  </si>
  <si>
    <t>TELMISARTAN</t>
  </si>
  <si>
    <t>2408005600</t>
  </si>
  <si>
    <t>73494</t>
  </si>
  <si>
    <t>AMLODIPINE BESILATE</t>
  </si>
  <si>
    <t>2412402220</t>
  </si>
  <si>
    <t>6.935000</t>
  </si>
  <si>
    <t>ILYOP</t>
  </si>
  <si>
    <t>AC39392221</t>
  </si>
  <si>
    <t>衛署藥製字第039392號</t>
  </si>
  <si>
    <t>3.900000</t>
  </si>
  <si>
    <t>RIBOFLAVIN PHOSPHATE SODIUM</t>
  </si>
  <si>
    <t>8810200700</t>
  </si>
  <si>
    <t>4.600000</t>
  </si>
  <si>
    <t>1925820</t>
  </si>
  <si>
    <t>4.900000</t>
  </si>
  <si>
    <t>0.005000</t>
  </si>
  <si>
    <t>8816000100</t>
  </si>
  <si>
    <t>1151</t>
  </si>
  <si>
    <t>8416000701</t>
  </si>
  <si>
    <t>14.000000</t>
  </si>
  <si>
    <t>BIOTIN</t>
  </si>
  <si>
    <t>8810000100</t>
  </si>
  <si>
    <t>0.060000</t>
  </si>
  <si>
    <t>1588</t>
  </si>
  <si>
    <t>VITAMIN A PALMITATE</t>
  </si>
  <si>
    <t>8804000300</t>
  </si>
  <si>
    <t>3300.000000</t>
  </si>
  <si>
    <t>CHOLECALCIFEROL ( EQ TO VIT D3) ( EQ TO VITAMIN D3)</t>
  </si>
  <si>
    <t>8818000300</t>
  </si>
  <si>
    <t>8820009213</t>
  </si>
  <si>
    <t>2370134</t>
  </si>
  <si>
    <t>8824000100</t>
  </si>
  <si>
    <t>8308</t>
  </si>
  <si>
    <t>IVITL</t>
  </si>
  <si>
    <t>NC03063238</t>
  </si>
  <si>
    <t>內衛藥製字第003063號</t>
  </si>
  <si>
    <t>GLUCOSE MONOHYDRATE</t>
  </si>
  <si>
    <t>4020000760</t>
  </si>
  <si>
    <t>1299920</t>
  </si>
  <si>
    <t>EFOST</t>
  </si>
  <si>
    <t>BC250921FL</t>
  </si>
  <si>
    <t>衛署藥輸字第025092號</t>
  </si>
  <si>
    <t>BECLOMETHASONE DIPROPIONATE</t>
  </si>
  <si>
    <t>8406000310</t>
  </si>
  <si>
    <t>1348</t>
  </si>
  <si>
    <t>0.006000</t>
  </si>
  <si>
    <t>OOPIC</t>
  </si>
  <si>
    <t>AC58168100</t>
  </si>
  <si>
    <t>衛部藥製字第058168號</t>
  </si>
  <si>
    <t>IPIPE</t>
  </si>
  <si>
    <t>AC56759220</t>
  </si>
  <si>
    <t>衛署藥製字第056759號</t>
  </si>
  <si>
    <t>OCUR2</t>
  </si>
  <si>
    <t>BC22931116</t>
  </si>
  <si>
    <t>衛署藥輸字第022931號</t>
  </si>
  <si>
    <t>AMOXICILLIN TRIHYDRATE</t>
  </si>
  <si>
    <t>0812600250</t>
  </si>
  <si>
    <t>57.400000</t>
  </si>
  <si>
    <t>17.200000</t>
  </si>
  <si>
    <t>OLAX</t>
  </si>
  <si>
    <t>AC47877100</t>
  </si>
  <si>
    <t>衛署藥製字第047877號</t>
  </si>
  <si>
    <t>CARISOPRODOL</t>
  </si>
  <si>
    <t>1220000300</t>
  </si>
  <si>
    <t>175.000000</t>
  </si>
  <si>
    <t>2101</t>
  </si>
  <si>
    <t>350.000000</t>
  </si>
  <si>
    <t>OLONS</t>
  </si>
  <si>
    <t>BC27281100</t>
  </si>
  <si>
    <t>衛部藥輸字第027281號</t>
  </si>
  <si>
    <t>Trifluridine</t>
  </si>
  <si>
    <t>5204600200</t>
  </si>
  <si>
    <t>10803</t>
  </si>
  <si>
    <t>Tipiracil hydrochloride</t>
  </si>
  <si>
    <t>5204600300</t>
  </si>
  <si>
    <t>7.065000</t>
  </si>
  <si>
    <t>1670303</t>
  </si>
  <si>
    <t>EDERA</t>
  </si>
  <si>
    <t>AC37162335</t>
  </si>
  <si>
    <t>衛署藥製字第037162號</t>
  </si>
  <si>
    <t>BETAMETHASONE DIPROPIONATE</t>
  </si>
  <si>
    <t>6804000220</t>
  </si>
  <si>
    <t>0.640000</t>
  </si>
  <si>
    <t>CLOTRIMAZOLE</t>
  </si>
  <si>
    <t>8404800400</t>
  </si>
  <si>
    <t>2623</t>
  </si>
  <si>
    <t>OBENY</t>
  </si>
  <si>
    <t>NC01820100</t>
  </si>
  <si>
    <t>內衛藥製字第001820號</t>
  </si>
  <si>
    <t>DICYCLOMINE HCL</t>
  </si>
  <si>
    <t>1208001810</t>
  </si>
  <si>
    <t>152021</t>
  </si>
  <si>
    <t>ALUMINUM HYDROXIDE DRIED GEL</t>
  </si>
  <si>
    <t>5604000202</t>
  </si>
  <si>
    <t>81948</t>
  </si>
  <si>
    <t>MAGNESIUM OXIDE</t>
  </si>
  <si>
    <t>5612001300</t>
  </si>
  <si>
    <t>6582</t>
  </si>
  <si>
    <t>OKETS</t>
  </si>
  <si>
    <t>BC18273100</t>
  </si>
  <si>
    <t>衛署藥輸字第018273號</t>
  </si>
  <si>
    <t>CALCIUM-3-METHYL-2-OXO-VALERATE</t>
  </si>
  <si>
    <t>4020103110</t>
  </si>
  <si>
    <t>67.000000</t>
  </si>
  <si>
    <t>CALCIUM-4-METHYL-2-OXO-VALERATE</t>
  </si>
  <si>
    <t>4020103210</t>
  </si>
  <si>
    <t>101.000000</t>
  </si>
  <si>
    <t>CALCIUM-2-OXO-3-PHENYL-PROPIONATE</t>
  </si>
  <si>
    <t>4020103410</t>
  </si>
  <si>
    <t>68.000000</t>
  </si>
  <si>
    <t>CALCIUM-3-METHYL-2-OXO-BUTYRATE</t>
  </si>
  <si>
    <t>4020103310</t>
  </si>
  <si>
    <t>86.000000</t>
  </si>
  <si>
    <t>CALCIUM-DL-2-HYDROXY-4-(METHYL-THIO)-BUTYRATE</t>
  </si>
  <si>
    <t>4020103510</t>
  </si>
  <si>
    <t>59.000000</t>
  </si>
  <si>
    <t>L-LYSINE ACETATE</t>
  </si>
  <si>
    <t>4020101322</t>
  </si>
  <si>
    <t>105.000000</t>
  </si>
  <si>
    <t>53.000000</t>
  </si>
  <si>
    <t>23.000000</t>
  </si>
  <si>
    <t>38.000000</t>
  </si>
  <si>
    <t>OPELO</t>
  </si>
  <si>
    <t>NC01807100</t>
  </si>
  <si>
    <t>內衛藥製字第001807號</t>
  </si>
  <si>
    <t>PREDNISOLONE</t>
  </si>
  <si>
    <t>6804001500</t>
  </si>
  <si>
    <t>6902</t>
  </si>
  <si>
    <t>OSYNN</t>
  </si>
  <si>
    <t>AC45181100</t>
  </si>
  <si>
    <t>衛署藥製字第045181號</t>
  </si>
  <si>
    <t>OFLUL</t>
  </si>
  <si>
    <t>AC56660100</t>
  </si>
  <si>
    <t>衛署藥製字第056660號</t>
  </si>
  <si>
    <t>2816800610</t>
  </si>
  <si>
    <t>0.580000</t>
  </si>
  <si>
    <t>2816600910</t>
  </si>
  <si>
    <t>11.250000</t>
  </si>
  <si>
    <t>OSODI</t>
  </si>
  <si>
    <t>AC234911G0</t>
  </si>
  <si>
    <t>衛署藥製字第023491號</t>
  </si>
  <si>
    <t>OKCIT</t>
  </si>
  <si>
    <t>AC36657121</t>
  </si>
  <si>
    <t>衛署藥製字第036657號</t>
  </si>
  <si>
    <t>POTASSIUM CITRATE MONOHYDRATE</t>
  </si>
  <si>
    <t>4008000360</t>
  </si>
  <si>
    <t>660.000000</t>
  </si>
  <si>
    <t>221149</t>
  </si>
  <si>
    <t>CITRIC ACID MONOHYDRATE</t>
  </si>
  <si>
    <t>9200001760</t>
  </si>
  <si>
    <t>200.400000</t>
  </si>
  <si>
    <t>221079</t>
  </si>
  <si>
    <t>OLOSH</t>
  </si>
  <si>
    <t>AB57237100</t>
  </si>
  <si>
    <t>衛署藥製字第057237號</t>
  </si>
  <si>
    <t>LOSARTAN POTASSIUM</t>
  </si>
  <si>
    <t>2408005210</t>
  </si>
  <si>
    <t>203160</t>
  </si>
  <si>
    <t>HYDROCHLOROTHIAZIDE (EQ TO 3,4-DIHYDROCHLOROTHIAZIDE)</t>
  </si>
  <si>
    <t>4028100600</t>
  </si>
  <si>
    <t>12.500000</t>
  </si>
  <si>
    <t>5487</t>
  </si>
  <si>
    <t>EANOR</t>
  </si>
  <si>
    <t>BC26315143</t>
  </si>
  <si>
    <t>衛部藥輸字第026315號</t>
  </si>
  <si>
    <t>Umeclidinium bromide (micronised)</t>
  </si>
  <si>
    <t>1212005410</t>
  </si>
  <si>
    <t>74.200000</t>
  </si>
  <si>
    <t>IAMSU</t>
  </si>
  <si>
    <t>AC57762210</t>
  </si>
  <si>
    <t>衛署藥製字第057762號</t>
  </si>
  <si>
    <t>AMPICILLIN (AS SODIUM) STERILE</t>
  </si>
  <si>
    <t>0812609321</t>
  </si>
  <si>
    <t>SULBACTAM(AS SODIUM)STERILE</t>
  </si>
  <si>
    <t>4410009511</t>
  </si>
  <si>
    <t>ECODO</t>
  </si>
  <si>
    <t>AC48925421</t>
  </si>
  <si>
    <t>衛署藥製字第048925號</t>
  </si>
  <si>
    <t>DORZOLAMIDE HYDROCHLORIDE</t>
  </si>
  <si>
    <t>9200036410</t>
  </si>
  <si>
    <t>22.300000</t>
  </si>
  <si>
    <t>236065</t>
  </si>
  <si>
    <t>6.830000</t>
  </si>
  <si>
    <t>EDUOT</t>
  </si>
  <si>
    <t>BC24766414</t>
  </si>
  <si>
    <t>衛署藥輸字第024766號</t>
  </si>
  <si>
    <t>TRAVOPROST</t>
  </si>
  <si>
    <t>7600001700</t>
  </si>
  <si>
    <t>0.040000</t>
  </si>
  <si>
    <t>283809</t>
  </si>
  <si>
    <t>TIMOLOL</t>
  </si>
  <si>
    <t>1216001900</t>
  </si>
  <si>
    <t>10600</t>
  </si>
  <si>
    <t>ODELS</t>
  </si>
  <si>
    <t>BC27739100</t>
  </si>
  <si>
    <t>衛部藥輸字第027739號</t>
  </si>
  <si>
    <t>Doravirine</t>
  </si>
  <si>
    <t>0818006100</t>
  </si>
  <si>
    <t>2055755</t>
  </si>
  <si>
    <t>LAMIVUDINE</t>
  </si>
  <si>
    <t>0818001400</t>
  </si>
  <si>
    <t>68244</t>
  </si>
  <si>
    <t>TENOFOVIR DISOPROXIL FUMARATE</t>
  </si>
  <si>
    <t>0818003510</t>
  </si>
  <si>
    <t>322248</t>
  </si>
  <si>
    <t>ODOVA</t>
  </si>
  <si>
    <t>BC27860100</t>
  </si>
  <si>
    <t>衛部藥輸字第027860號</t>
  </si>
  <si>
    <t>Dolutegravir Sodium</t>
  </si>
  <si>
    <t>0818004700</t>
  </si>
  <si>
    <t>52.600000</t>
  </si>
  <si>
    <t>1433867</t>
  </si>
  <si>
    <t>OJULU</t>
  </si>
  <si>
    <t>BC27514100</t>
  </si>
  <si>
    <t>衛部藥輸字第027514號</t>
  </si>
  <si>
    <t>52.620000</t>
  </si>
  <si>
    <t>RILPIVIRINE HYDROCHLORIDE</t>
  </si>
  <si>
    <t>0818004310</t>
  </si>
  <si>
    <t>27.500000</t>
  </si>
  <si>
    <t>1102287</t>
  </si>
  <si>
    <t>OAGIT</t>
  </si>
  <si>
    <t>AC59251100</t>
  </si>
  <si>
    <t>衛部藥製字第059251號</t>
  </si>
  <si>
    <t>EZETIMIBE</t>
  </si>
  <si>
    <t>9200095600</t>
  </si>
  <si>
    <t>341248</t>
  </si>
  <si>
    <t>SIMVASTATIN</t>
  </si>
  <si>
    <t>2406002900</t>
  </si>
  <si>
    <t>36567</t>
  </si>
  <si>
    <t>INEPH</t>
  </si>
  <si>
    <t>BC17819265</t>
  </si>
  <si>
    <t>衛署藥輸字第017819號</t>
  </si>
  <si>
    <t>5.100000</t>
  </si>
  <si>
    <t>ARGININE</t>
  </si>
  <si>
    <t>4020100300</t>
  </si>
  <si>
    <t>1091</t>
  </si>
  <si>
    <t>89918</t>
  </si>
  <si>
    <t>4.300000</t>
  </si>
  <si>
    <t>6.300000</t>
  </si>
  <si>
    <t>9600017802</t>
  </si>
  <si>
    <t>1427053</t>
  </si>
  <si>
    <t>10.300000</t>
  </si>
  <si>
    <t>LYSINE L- (ACETATE)</t>
  </si>
  <si>
    <t>4020191322</t>
  </si>
  <si>
    <t>2.800000</t>
  </si>
  <si>
    <t>ACETYLCYSTEINE</t>
  </si>
  <si>
    <t>4800000100</t>
  </si>
  <si>
    <t>197</t>
  </si>
  <si>
    <t>3.800000</t>
  </si>
  <si>
    <t>1.900000</t>
  </si>
  <si>
    <t>6.200000</t>
  </si>
  <si>
    <t>OEXF3</t>
  </si>
  <si>
    <t>BC25419100</t>
  </si>
  <si>
    <t>衛署藥輸字第025419號</t>
  </si>
  <si>
    <t>OAMAE</t>
  </si>
  <si>
    <t>AC58954100</t>
  </si>
  <si>
    <t>衛部藥製字第058954號</t>
  </si>
  <si>
    <t>ETREL</t>
  </si>
  <si>
    <t>BC27395443</t>
  </si>
  <si>
    <t>衛部藥輸字第027395號</t>
  </si>
  <si>
    <t>ODIMO</t>
  </si>
  <si>
    <t>AC46351100</t>
  </si>
  <si>
    <t>衛署藥製字第046351號</t>
  </si>
  <si>
    <t>PANCREATIN (DIASTASE VERA)</t>
  </si>
  <si>
    <t>5616001200</t>
  </si>
  <si>
    <t>212.500000</t>
  </si>
  <si>
    <t>METOCLOPRAMIDE HCL</t>
  </si>
  <si>
    <t>5622000710</t>
  </si>
  <si>
    <t>267035</t>
  </si>
  <si>
    <t>IZEFO</t>
  </si>
  <si>
    <t>AC60278212</t>
  </si>
  <si>
    <t>衛部藥製字第060278號</t>
  </si>
  <si>
    <t>CEFOPERAZONE(AS SODIUM)STERILE</t>
  </si>
  <si>
    <t>0812392011</t>
  </si>
  <si>
    <t>2000.000000</t>
  </si>
  <si>
    <t>OCOAM</t>
  </si>
  <si>
    <t>AC59395100</t>
  </si>
  <si>
    <t>衛部藥製字第059395號</t>
  </si>
  <si>
    <t>ECALM</t>
  </si>
  <si>
    <t>AC59413335</t>
  </si>
  <si>
    <t>衛部藥製字第059413號</t>
  </si>
  <si>
    <t>BETAMETHASONE VALERATE</t>
  </si>
  <si>
    <t>6804000250</t>
  </si>
  <si>
    <t>227897</t>
  </si>
  <si>
    <t>PHENYLEPHRINE HCL</t>
  </si>
  <si>
    <t>1212002310</t>
  </si>
  <si>
    <t>221139</t>
  </si>
  <si>
    <t>OTRUV</t>
  </si>
  <si>
    <t>BC24769100</t>
  </si>
  <si>
    <t>衛署藥輸字第024769號</t>
  </si>
  <si>
    <t>EMTRICITABINE</t>
  </si>
  <si>
    <t>0818003700</t>
  </si>
  <si>
    <t>276237</t>
  </si>
  <si>
    <t>OTRIU</t>
  </si>
  <si>
    <t>BC26518100</t>
  </si>
  <si>
    <t>衛部藥輸字第026518號</t>
  </si>
  <si>
    <t>ABACAVIR SULFATE</t>
  </si>
  <si>
    <t>0818001610</t>
  </si>
  <si>
    <t>702.000000</t>
  </si>
  <si>
    <t>221052</t>
  </si>
  <si>
    <t>IBET3</t>
  </si>
  <si>
    <t>AC493752AE</t>
  </si>
  <si>
    <t>衛署藥製字第049375號</t>
  </si>
  <si>
    <t>3.000000</t>
  </si>
  <si>
    <t>0.375000</t>
  </si>
  <si>
    <t>36.000000</t>
  </si>
  <si>
    <t>OODEF</t>
  </si>
  <si>
    <t>BC27505100</t>
  </si>
  <si>
    <t>衛部藥輸字第027505號</t>
  </si>
  <si>
    <t>tenofovir alafenamide fumarate</t>
  </si>
  <si>
    <t>0818003520</t>
  </si>
  <si>
    <t>28.040000</t>
  </si>
  <si>
    <t>1721604</t>
  </si>
  <si>
    <t>OEXNO</t>
  </si>
  <si>
    <t>AC57797100</t>
  </si>
  <si>
    <t>衛署藥製字第057797號</t>
  </si>
  <si>
    <t>OXIGD</t>
  </si>
  <si>
    <t>BC27117100</t>
  </si>
  <si>
    <t>衛部藥輸字第027117號</t>
  </si>
  <si>
    <t>METFORMIN HYDROCHLORIDE WITH 0.5% MAGNESIUM STEARATE</t>
  </si>
  <si>
    <t>6820400720</t>
  </si>
  <si>
    <t>1005.040000</t>
  </si>
  <si>
    <t>Dapagliflozin propanediol monohydrate</t>
  </si>
  <si>
    <t>6820602210</t>
  </si>
  <si>
    <t>12.300000</t>
  </si>
  <si>
    <t>1486966</t>
  </si>
  <si>
    <t>OLODI</t>
  </si>
  <si>
    <t>AC59393100</t>
  </si>
  <si>
    <t>衛部藥製字第059393號</t>
  </si>
  <si>
    <t>PIOGLITAZONE HYDROCHLORIDE</t>
  </si>
  <si>
    <t>6820400910</t>
  </si>
  <si>
    <t>16.530000</t>
  </si>
  <si>
    <t>259319</t>
  </si>
  <si>
    <t>850.000000</t>
  </si>
  <si>
    <t>OCOVO</t>
  </si>
  <si>
    <t>AC59841100</t>
  </si>
  <si>
    <t>衛部藥製字第059841號</t>
  </si>
  <si>
    <t>ETRIM</t>
  </si>
  <si>
    <t>BC27672457</t>
  </si>
  <si>
    <t>衛部藥輸字第027672號</t>
  </si>
  <si>
    <t>8406000330</t>
  </si>
  <si>
    <t>Glycopyrronium bromide</t>
  </si>
  <si>
    <t>1208002410</t>
  </si>
  <si>
    <t>0.013000</t>
  </si>
  <si>
    <t>1546438</t>
  </si>
  <si>
    <t>OJANM</t>
  </si>
  <si>
    <t>BC25043100</t>
  </si>
  <si>
    <t>衛署藥輸字第025043號</t>
  </si>
  <si>
    <t>SITAGLIPTIN PHOSPHATE(AS MONOHYDRATE PHOSPHATE SALT)</t>
  </si>
  <si>
    <t>9200088530</t>
  </si>
  <si>
    <t>64.250000</t>
  </si>
  <si>
    <t>2716481</t>
  </si>
  <si>
    <t>OGLYX</t>
  </si>
  <si>
    <t>BC27073100</t>
  </si>
  <si>
    <t>衛部藥輸字第027073號</t>
  </si>
  <si>
    <t>Empagliflozin</t>
  </si>
  <si>
    <t>6820401000</t>
  </si>
  <si>
    <t>1545653</t>
  </si>
  <si>
    <t>LINAGLIPTIN</t>
  </si>
  <si>
    <t>6820602000</t>
  </si>
  <si>
    <t>1100699</t>
  </si>
  <si>
    <t>OWANS</t>
  </si>
  <si>
    <t>AC028461G0</t>
  </si>
  <si>
    <t>衛署藥製字第002846號</t>
  </si>
  <si>
    <t>FERROUS FUMARATE</t>
  </si>
  <si>
    <t>2004401100</t>
  </si>
  <si>
    <t>24941</t>
  </si>
  <si>
    <t>OCARC</t>
  </si>
  <si>
    <t>AC60185100</t>
  </si>
  <si>
    <t>衛部藥製字第060185號</t>
  </si>
  <si>
    <t>32.000000</t>
  </si>
  <si>
    <t>OEXFP</t>
  </si>
  <si>
    <t>AC59821100</t>
  </si>
  <si>
    <t>衛部藥製字第059821號</t>
  </si>
  <si>
    <t>EBEVE</t>
  </si>
  <si>
    <t>BC27524457</t>
  </si>
  <si>
    <t>衛部藥輸字第027524號</t>
  </si>
  <si>
    <t>glycopyrronium</t>
  </si>
  <si>
    <t>1208002420</t>
  </si>
  <si>
    <t>7.200000</t>
  </si>
  <si>
    <t>2052857</t>
  </si>
  <si>
    <t>IBRO2</t>
  </si>
  <si>
    <t>AC58156212</t>
  </si>
  <si>
    <t>衛部藥製字第058156號</t>
  </si>
  <si>
    <t>CEFOPERAZONE SODIUM</t>
  </si>
  <si>
    <t>0812302010</t>
  </si>
  <si>
    <t>227214</t>
  </si>
  <si>
    <t>OESDI</t>
  </si>
  <si>
    <t>AC44113100</t>
  </si>
  <si>
    <t>衛署藥製字第044113號</t>
  </si>
  <si>
    <t>ESTRADIOL ETHINYL (EQ TO ETHINYLOESTRADIOL)(EQ TO ETHINYLESTRADIOL)</t>
  </si>
  <si>
    <t>6816000600</t>
  </si>
  <si>
    <t>0.035000</t>
  </si>
  <si>
    <t>CYPROTERONE ACETATE</t>
  </si>
  <si>
    <t>6808400110</t>
  </si>
  <si>
    <t>22054</t>
  </si>
  <si>
    <t>ESYM2</t>
  </si>
  <si>
    <t>BC266571E7</t>
  </si>
  <si>
    <t>衛部藥輸字第026657號</t>
  </si>
  <si>
    <t>ug</t>
  </si>
  <si>
    <t>EMING</t>
  </si>
  <si>
    <t>NC16654421</t>
  </si>
  <si>
    <t>內衛藥製字第016654號</t>
  </si>
  <si>
    <t>DEXAMETHASONE PHOSPHATE (21-BETA)</t>
  </si>
  <si>
    <t>6804000620</t>
  </si>
  <si>
    <t>OSPIZ</t>
  </si>
  <si>
    <t>AC42267151</t>
  </si>
  <si>
    <t>衛署藥製字第042267號</t>
  </si>
  <si>
    <t>TRIPROLIDINE HCL</t>
  </si>
  <si>
    <t>0400004110</t>
  </si>
  <si>
    <t>10849</t>
  </si>
  <si>
    <t>ETRIS</t>
  </si>
  <si>
    <t>AC49652329</t>
  </si>
  <si>
    <t>衛署藥製字第049652號</t>
  </si>
  <si>
    <t>GENTAMICIN (AS SULFATE)</t>
  </si>
  <si>
    <t>0812109310</t>
  </si>
  <si>
    <t>1596450</t>
  </si>
  <si>
    <t>1870193</t>
  </si>
  <si>
    <t>EMYCM</t>
  </si>
  <si>
    <t>AC21924336</t>
  </si>
  <si>
    <t>衛署藥製字第021924號</t>
  </si>
  <si>
    <t>NYSTATIN</t>
  </si>
  <si>
    <t>0812200900</t>
  </si>
  <si>
    <t>100000.000000</t>
  </si>
  <si>
    <t>7597</t>
  </si>
  <si>
    <t>GRAMICIDIN</t>
  </si>
  <si>
    <t>8404400200</t>
  </si>
  <si>
    <t>5011</t>
  </si>
  <si>
    <t>OQTER</t>
  </si>
  <si>
    <t>BC27467100</t>
  </si>
  <si>
    <t>衛部藥輸字第027467號</t>
  </si>
  <si>
    <t>SAXAGLIPTIN</t>
  </si>
  <si>
    <t>6820802000</t>
  </si>
  <si>
    <t>857974</t>
  </si>
  <si>
    <t>1043560</t>
  </si>
  <si>
    <t>ODEPK</t>
  </si>
  <si>
    <t>BC22008100</t>
  </si>
  <si>
    <t>衛署藥輸字第022008號</t>
  </si>
  <si>
    <t>VALPROATE SODIUM</t>
  </si>
  <si>
    <t>2812001310</t>
  </si>
  <si>
    <t>333.000000</t>
  </si>
  <si>
    <t>9919</t>
  </si>
  <si>
    <t>VALPROIC ACID</t>
  </si>
  <si>
    <t>2812001300</t>
  </si>
  <si>
    <t>145.000000</t>
  </si>
  <si>
    <t>11118</t>
  </si>
  <si>
    <t>ILACT</t>
  </si>
  <si>
    <t>NC00577277</t>
  </si>
  <si>
    <t>內衛藥製字第000577號</t>
  </si>
  <si>
    <t>SODIUM LACTATE SOLUTION</t>
  </si>
  <si>
    <t>4008000980</t>
  </si>
  <si>
    <t>5.170000</t>
  </si>
  <si>
    <t>OBLOO</t>
  </si>
  <si>
    <t>AC24053100</t>
  </si>
  <si>
    <t>衛署藥製字第024053號</t>
  </si>
  <si>
    <t>THIAMINE MONONITRATE</t>
  </si>
  <si>
    <t>8810101001</t>
  </si>
  <si>
    <t>10456</t>
  </si>
  <si>
    <t>CYANOCOBALAMIN</t>
  </si>
  <si>
    <t>8811200301</t>
  </si>
  <si>
    <t>NICOTINAMIDE</t>
  </si>
  <si>
    <t>8810000330</t>
  </si>
  <si>
    <t>1044975</t>
  </si>
  <si>
    <t>OSEVA</t>
  </si>
  <si>
    <t>BC25494100</t>
  </si>
  <si>
    <t>25494</t>
  </si>
  <si>
    <t>衛署藥輸字第025494號</t>
  </si>
  <si>
    <t>IRYZO</t>
  </si>
  <si>
    <t>KC01053216</t>
  </si>
  <si>
    <t>001053</t>
  </si>
  <si>
    <t>衛部菌疫輸字第001053號</t>
  </si>
  <si>
    <t>insulin degludec</t>
  </si>
  <si>
    <t>6820801300</t>
  </si>
  <si>
    <t>420.000000</t>
  </si>
  <si>
    <t>nmol</t>
  </si>
  <si>
    <t>1670007</t>
  </si>
  <si>
    <t>INSULIN ASPART</t>
  </si>
  <si>
    <t>6820800109</t>
  </si>
  <si>
    <t>180.000000</t>
  </si>
  <si>
    <t>51428</t>
  </si>
  <si>
    <t>2705729</t>
  </si>
  <si>
    <t>ESPIO</t>
  </si>
  <si>
    <t>BC26735443</t>
  </si>
  <si>
    <t>衛部藥輸字第026735號</t>
  </si>
  <si>
    <t>TIOTROPIUM</t>
  </si>
  <si>
    <t>1208006600</t>
  </si>
  <si>
    <t>69120</t>
  </si>
  <si>
    <t>1298831</t>
  </si>
  <si>
    <t>Olodaterol</t>
  </si>
  <si>
    <t>1212009800</t>
  </si>
  <si>
    <t>1546059</t>
  </si>
  <si>
    <t>1546396</t>
  </si>
  <si>
    <t>IYOUN</t>
  </si>
  <si>
    <t>AB48802277</t>
  </si>
  <si>
    <t>衛署藥製字第048802號</t>
  </si>
  <si>
    <t>IMIPENEM</t>
  </si>
  <si>
    <t>0812002300</t>
  </si>
  <si>
    <t>5690</t>
  </si>
  <si>
    <t>CILASTATIN</t>
  </si>
  <si>
    <t>4410000600</t>
  </si>
  <si>
    <t>2540</t>
  </si>
  <si>
    <t>EDUFA</t>
  </si>
  <si>
    <t>AC60851457</t>
  </si>
  <si>
    <t>衛部藥製字第060851號</t>
  </si>
  <si>
    <t>AZELASTINE HYDROCHLORIDE</t>
  </si>
  <si>
    <t>0400006310</t>
  </si>
  <si>
    <t>0.137000</t>
  </si>
  <si>
    <t>235824</t>
  </si>
  <si>
    <t>OCRET</t>
  </si>
  <si>
    <t>BC28181100</t>
  </si>
  <si>
    <t>衛部藥輸字第028181號</t>
  </si>
  <si>
    <t>ROSUVASTATIN CALCIUM</t>
  </si>
  <si>
    <t>2406003210</t>
  </si>
  <si>
    <t>10.400000</t>
  </si>
  <si>
    <t>323828</t>
  </si>
  <si>
    <t>OESTE</t>
  </si>
  <si>
    <t>AC59409100</t>
  </si>
  <si>
    <t>衛部藥製字第059409號</t>
  </si>
  <si>
    <t>OTRAE</t>
  </si>
  <si>
    <t>BC25792100</t>
  </si>
  <si>
    <t>25792</t>
  </si>
  <si>
    <t>衛署藥輸字第025792號</t>
  </si>
  <si>
    <t>OCOMD</t>
  </si>
  <si>
    <t>AC60201100</t>
  </si>
  <si>
    <t>衛部藥製字第060201號</t>
  </si>
  <si>
    <t>6.934000</t>
  </si>
  <si>
    <t>OWONT</t>
  </si>
  <si>
    <t>BC26598100</t>
  </si>
  <si>
    <t>衛部藥輸字第026598號</t>
  </si>
  <si>
    <t>650.000000</t>
  </si>
  <si>
    <t>OGOLF</t>
  </si>
  <si>
    <t>AC60482100</t>
  </si>
  <si>
    <t>衛部藥製字第060482號</t>
  </si>
  <si>
    <t>GIMERACIL</t>
  </si>
  <si>
    <t>1008400600</t>
  </si>
  <si>
    <t>5.800000</t>
  </si>
  <si>
    <t>1008400710</t>
  </si>
  <si>
    <t>19.600000</t>
  </si>
  <si>
    <t>9604001100</t>
  </si>
  <si>
    <t>Q.S.</t>
  </si>
  <si>
    <t>OALUZ</t>
  </si>
  <si>
    <t>AC128281G0</t>
  </si>
  <si>
    <t>衛署藥製字第012828號</t>
  </si>
  <si>
    <t>POLYMAGAL</t>
  </si>
  <si>
    <t>9900036200</t>
  </si>
  <si>
    <t>OXETHAZAINE</t>
  </si>
  <si>
    <t>5604002900</t>
  </si>
  <si>
    <t>DRIED ALUMINUM HYDROXIDE GEL</t>
  </si>
  <si>
    <t>5604000207</t>
  </si>
  <si>
    <t>32.500000</t>
  </si>
  <si>
    <t>IPIPA</t>
  </si>
  <si>
    <t>AC551102AE</t>
  </si>
  <si>
    <t>衛署藥製字第055110號</t>
  </si>
  <si>
    <t>4000.000000</t>
  </si>
  <si>
    <t>3000.000000</t>
  </si>
  <si>
    <t>375.000000</t>
  </si>
  <si>
    <t>IDEX3</t>
  </si>
  <si>
    <t>AC11886277</t>
  </si>
  <si>
    <t>衛署藥製字第011886號</t>
  </si>
  <si>
    <t>0.330000</t>
  </si>
  <si>
    <t>IADDA</t>
  </si>
  <si>
    <t>BC26993229</t>
  </si>
  <si>
    <t>衛部藥輸字第026993號</t>
  </si>
  <si>
    <t>Chromic chloride hexahydrate</t>
  </si>
  <si>
    <t>4012007600</t>
  </si>
  <si>
    <t>5.330000</t>
  </si>
  <si>
    <t>Copper chloride dihydrate</t>
  </si>
  <si>
    <t>4026000730</t>
  </si>
  <si>
    <t>102.300000</t>
  </si>
  <si>
    <t>2004400220</t>
  </si>
  <si>
    <t>0.540000</t>
  </si>
  <si>
    <t>1323279</t>
  </si>
  <si>
    <t>4012002720</t>
  </si>
  <si>
    <t>19.790000</t>
  </si>
  <si>
    <t>POTASSIUM IODIDE</t>
  </si>
  <si>
    <t>4800002900</t>
  </si>
  <si>
    <t>16.600000</t>
  </si>
  <si>
    <t>8597</t>
  </si>
  <si>
    <t>SODIUM FLUORIDE</t>
  </si>
  <si>
    <t>9200008400</t>
  </si>
  <si>
    <t>0.210000</t>
  </si>
  <si>
    <t>9873</t>
  </si>
  <si>
    <t>1311495</t>
  </si>
  <si>
    <t>SODIUM MOLYBDATE DIHYDRATE</t>
  </si>
  <si>
    <t>9200008870</t>
  </si>
  <si>
    <t>4.850000</t>
  </si>
  <si>
    <t>1423799</t>
  </si>
  <si>
    <t>ZINC CHLORIDE</t>
  </si>
  <si>
    <t>8412000900</t>
  </si>
  <si>
    <t>1.050000</t>
  </si>
  <si>
    <t>39937</t>
  </si>
  <si>
    <t>Sodium selenite anhydrous</t>
  </si>
  <si>
    <t>4012003750</t>
  </si>
  <si>
    <t>17.290000</t>
  </si>
  <si>
    <t>IBURO</t>
  </si>
  <si>
    <t>AC61039219</t>
  </si>
  <si>
    <t>衛部藥製字第061039號</t>
  </si>
  <si>
    <t>ETRELE</t>
  </si>
  <si>
    <t>BC28240443</t>
  </si>
  <si>
    <t>衛部藥輸字第028240號</t>
  </si>
  <si>
    <t>IDEXO</t>
  </si>
  <si>
    <t>AC15246277</t>
  </si>
  <si>
    <t>衛署藥製字第015246號</t>
  </si>
  <si>
    <t>OOLMC</t>
  </si>
  <si>
    <t>AC61466100</t>
  </si>
  <si>
    <t>衛部藥製字第061466號</t>
  </si>
  <si>
    <t>EULEX</t>
  </si>
  <si>
    <t>A026636329</t>
  </si>
  <si>
    <t>衛署藥製字第026636號</t>
  </si>
  <si>
    <t>CROTAMITON</t>
  </si>
  <si>
    <t>8404200200</t>
  </si>
  <si>
    <t>21766</t>
  </si>
  <si>
    <t>HYDROCORTISONE</t>
  </si>
  <si>
    <t>6804001100</t>
  </si>
  <si>
    <t>5492</t>
  </si>
  <si>
    <t>OJARI</t>
  </si>
  <si>
    <t>BC27039100</t>
  </si>
  <si>
    <t>衛部藥輸字第027039號</t>
  </si>
  <si>
    <t>OOLMA</t>
  </si>
  <si>
    <t>AC61591100</t>
  </si>
  <si>
    <t>衛部藥製字第061591號</t>
  </si>
  <si>
    <t>IBCO4</t>
  </si>
  <si>
    <t>AC14759209</t>
  </si>
  <si>
    <t>衛署藥製字第014759號</t>
  </si>
  <si>
    <t>DEXPANTHENOL</t>
  </si>
  <si>
    <t>8812300120</t>
  </si>
  <si>
    <t>22701</t>
  </si>
  <si>
    <t>ESINH</t>
  </si>
  <si>
    <t>A024519343</t>
  </si>
  <si>
    <t>衛署藥製字第024519號</t>
  </si>
  <si>
    <t>TOCOPHEROL ACETATE ALPHA DL-</t>
  </si>
  <si>
    <t>8820000213</t>
  </si>
  <si>
    <t>RETINOL PALMITATE</t>
  </si>
  <si>
    <t>8428001920</t>
  </si>
  <si>
    <t>OSULC</t>
  </si>
  <si>
    <t>AC44321151</t>
  </si>
  <si>
    <t>44321</t>
  </si>
  <si>
    <t>衛署藥製字第044321號</t>
  </si>
  <si>
    <t>ISMOP</t>
  </si>
  <si>
    <t>BC24519265</t>
  </si>
  <si>
    <t>衛署藥輸字第024519號</t>
  </si>
  <si>
    <t>SOYBEAN OIL REFINED</t>
  </si>
  <si>
    <t>4020001630</t>
  </si>
  <si>
    <t>TRIGLYCERIDES MEDIUM CHAIN</t>
  </si>
  <si>
    <t>5640001102</t>
  </si>
  <si>
    <t>1310578</t>
  </si>
  <si>
    <t>OLIVE OIL</t>
  </si>
  <si>
    <t>9600021200</t>
  </si>
  <si>
    <t>1309250</t>
  </si>
  <si>
    <t>4020003620</t>
  </si>
  <si>
    <t>OPANE</t>
  </si>
  <si>
    <t>AC551231G0</t>
  </si>
  <si>
    <t>衛署藥製字第055123號</t>
  </si>
  <si>
    <t>SBDC</t>
    <phoneticPr fontId="2" type="noConversion"/>
  </si>
  <si>
    <t>SODIUM PHOSPHATE MONOBASIC MONOHYDRATE (SODIUM DIHYDROGEN PHOSPHATE MONOHYDRATE)</t>
    <phoneticPr fontId="2" type="noConversion"/>
  </si>
  <si>
    <t>SODIUM PHOSPHATE MONOBASIC (EQ TO MONOSODIUM PHOSPHATE)(EQ TO SODIUM DIHYDROGEN PHOSPHATE)</t>
    <phoneticPr fontId="2" type="noConversion"/>
  </si>
  <si>
    <t>SODIUM BORATE DECAHYDRATE (BORAX)</t>
    <phoneticPr fontId="2" type="noConversion"/>
  </si>
  <si>
    <t>GUAIACOL GLYCOLATE (EQ TO GLYCERYL GUAIACOLATE)</t>
    <phoneticPr fontId="2" type="noConversion"/>
  </si>
  <si>
    <t>DIASTASE BIO-</t>
    <phoneticPr fontId="2" type="noConversion"/>
  </si>
  <si>
    <t>TEGAFUR (FTORAFUR)</t>
    <phoneticPr fontId="2" type="noConversion"/>
  </si>
  <si>
    <t>SCD</t>
    <phoneticPr fontId="2" type="noConversion"/>
  </si>
  <si>
    <t>CALCIUM PHOSPHATE TRIBASIC (CALCIUM PHOSPHATE)</t>
    <phoneticPr fontId="2" type="noConversion"/>
  </si>
  <si>
    <t>SILYMARIN (EXSICCATED FRUCTUS CARDUI MARIANUS EXTRACT)</t>
    <phoneticPr fontId="2" type="noConversion"/>
  </si>
  <si>
    <t>NIACINAMIDE (NICOTINAMIDE)</t>
    <phoneticPr fontId="2" type="noConversion"/>
  </si>
  <si>
    <t>CYANOCOBALAMIN (VIT B12)</t>
    <phoneticPr fontId="2" type="noConversion"/>
  </si>
  <si>
    <t>GLYCERIN (eq to GLYCEROL)</t>
    <phoneticPr fontId="2" type="noConversion"/>
  </si>
  <si>
    <t>FRUCTOSE (LAEVULOSE)</t>
    <phoneticPr fontId="2" type="noConversion"/>
  </si>
  <si>
    <t>MAGNESIUM CHLORIDE HEXAHYDRATE (EQ TO MAGNESIUM CHLORIDE 6H2O)</t>
    <phoneticPr fontId="2" type="noConversion"/>
  </si>
  <si>
    <t>POTASSIUM PHOSPHATE MONOBASIC(EQ TO POTASSIUM BIPHOSPHATE)(EQ TO POTASSIUM DIHYDROGEN PHOSPHATE)</t>
    <phoneticPr fontId="2" type="noConversion"/>
  </si>
  <si>
    <t>ACETAMINOPHEN (EQ TO PARACETAMOL)</t>
    <phoneticPr fontId="2" type="noConversion"/>
  </si>
  <si>
    <t>CETIRIZINE DIHYDROCHLORIDE (EQ TO CETIRIZINE 2HCL )</t>
    <phoneticPr fontId="2" type="noConversion"/>
  </si>
  <si>
    <t>POLYCRESOLSULFONATE (POLICRESULEN)</t>
    <phoneticPr fontId="2" type="noConversion"/>
  </si>
  <si>
    <t>SODIUM PHOSPHATE DIBASIC ANHYDROUS (EQ TO DISODIUM HYDROGEN PHOSPHATE ANHYDROUS)(EQ TO DIBASIC SODIUM PHOSPHATE ANHYDROUS)(DISODIUM PHOSPHATE ANHYDROUS)</t>
    <phoneticPr fontId="2" type="noConversion"/>
  </si>
  <si>
    <t>SALMETEROL XINAFOATE MICRONIZED</t>
    <phoneticPr fontId="2" type="noConversion"/>
  </si>
  <si>
    <t>AMPICILLIN (TRIHYDRATE)</t>
    <phoneticPr fontId="2" type="noConversion"/>
  </si>
  <si>
    <t>DICLOXACILLIN (SODIUM MONOHYDRATE)</t>
    <phoneticPr fontId="2" type="noConversion"/>
  </si>
  <si>
    <t>AMOXICILLIN (AS TRIHYDATE)</t>
    <phoneticPr fontId="2" type="noConversion"/>
  </si>
  <si>
    <t>BETAMETHASONE (AS DIPROPIONATE)</t>
    <phoneticPr fontId="2" type="noConversion"/>
  </si>
  <si>
    <t>AMPICILLIN (SODIUM)</t>
    <phoneticPr fontId="2" type="noConversion"/>
  </si>
  <si>
    <t>Fluticasone furoate (micronised)</t>
    <phoneticPr fontId="2" type="noConversion"/>
  </si>
  <si>
    <t>DIOCTYL SODIUM SULFOSUCCINATE(AEROSOL OT)</t>
    <phoneticPr fontId="2" type="noConversion"/>
  </si>
  <si>
    <t>成分名稱</t>
    <phoneticPr fontId="2" type="noConversion"/>
  </si>
  <si>
    <t>ASCORBIC ACID (VIT C)</t>
    <phoneticPr fontId="2" type="noConversion"/>
  </si>
  <si>
    <t>PANTHENOL D- (EQ TO D-PANTHENOL)</t>
    <phoneticPr fontId="2" type="noConversion"/>
  </si>
  <si>
    <t>TOCOPHEROL (ACETATE ALPHA DL- )</t>
    <phoneticPr fontId="2" type="noConversion"/>
  </si>
  <si>
    <t>PHYTOMENADIONE(VIT K1)</t>
    <phoneticPr fontId="2" type="noConversion"/>
  </si>
  <si>
    <t>FLUPENTIXOL 2HCL ( EQ TO FLUPENTIXOL DIHYDROCHLORIDE) (EQ TO FLUPENTHIXOL DIHYDROCHLORIDE)</t>
    <phoneticPr fontId="2" type="noConversion"/>
  </si>
  <si>
    <t>MELITRACEN HCL ( EQ TO MELITRACENE HYDROCHLORIDE)</t>
    <phoneticPr fontId="2" type="noConversion"/>
  </si>
  <si>
    <t>GLYCINE (EQ TO AMINOACETIC ACID)(EQ TO GLYCOCOLL)</t>
    <phoneticPr fontId="2" type="noConversion"/>
  </si>
  <si>
    <t>MALIC ACID L-</t>
    <phoneticPr fontId="2" type="noConversion"/>
  </si>
  <si>
    <t>PANCREATIN (DIASTASE VERA)</t>
    <phoneticPr fontId="2" type="noConversion"/>
  </si>
  <si>
    <t>CEFOPERAZONE(AS SODIUM)STERILE</t>
    <phoneticPr fontId="2" type="noConversion"/>
  </si>
  <si>
    <t>SULBACTAM(AS SODIUM)STERILE</t>
    <phoneticPr fontId="2" type="noConversion"/>
  </si>
  <si>
    <t>BECLOMETHASONE DIPROPIONATE ANHYDROUS (equal to BECLOMETASONE DIPROPIONATE ANHYDROUS)</t>
    <phoneticPr fontId="2" type="noConversion"/>
  </si>
  <si>
    <t>OTERACIL POTASSIUM</t>
    <phoneticPr fontId="2" type="noConversion"/>
  </si>
  <si>
    <t>WATER PURIFIED ( EQ TO AQUEOUS PURIFIED OR PURIFIED WATER )</t>
    <phoneticPr fontId="2" type="noConversion"/>
  </si>
  <si>
    <t>Ferric chloride hexahydrate</t>
    <phoneticPr fontId="2" type="noConversion"/>
  </si>
  <si>
    <t>Manganese chloride tetrahydrate</t>
    <phoneticPr fontId="2" type="noConversion"/>
  </si>
  <si>
    <t>FISH-OIL RICH IN OMEGA-3 ACIDS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</si>
</sst>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9"/>
  <sheetViews>
    <sheetView tabSelected="1" topLeftCell="B1" zoomScale="80" zoomScaleNormal="80" workbookViewId="0">
      <pane ySplit="1" topLeftCell="A365" activePane="bottomLeft" state="frozen"/>
      <selection activeCell="E1" sqref="E1"/>
      <selection pane="bottomLeft" activeCell="K380" sqref="K380"/>
    </sheetView>
  </sheetViews>
  <sheetFormatPr defaultRowHeight="15.75" x14ac:dyDescent="0.25"/>
  <cols>
    <col min="1" max="1" width="9.140625" hidden="1" customWidth="1"/>
    <col min="2" max="2" width="13.5703125" bestFit="1" customWidth="1"/>
    <col min="3" max="4" width="9.140625" hidden="1" customWidth="1"/>
    <col min="5" max="5" width="26.7109375" bestFit="1" customWidth="1"/>
    <col min="6" max="6" width="0" hidden="1" customWidth="1"/>
    <col min="7" max="7" width="34.28515625" customWidth="1"/>
    <col min="8" max="10" width="9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1404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1376</v>
      </c>
      <c r="P1" s="1" t="s">
        <v>1383</v>
      </c>
      <c r="Q1" s="1" t="s">
        <v>13</v>
      </c>
    </row>
    <row r="2" spans="1:17" x14ac:dyDescent="0.25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70616</v>
      </c>
      <c r="M2" t="s">
        <v>23</v>
      </c>
    </row>
    <row r="3" spans="1:17" x14ac:dyDescent="0.25">
      <c r="A3" t="s">
        <v>24</v>
      </c>
      <c r="B3" t="s">
        <v>25</v>
      </c>
      <c r="C3" t="s">
        <v>16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</row>
    <row r="4" spans="1:17" x14ac:dyDescent="0.25">
      <c r="A4" t="s">
        <v>24</v>
      </c>
      <c r="B4" t="s">
        <v>25</v>
      </c>
      <c r="C4" t="s">
        <v>16</v>
      </c>
      <c r="D4" t="s">
        <v>25</v>
      </c>
      <c r="E4" t="s">
        <v>26</v>
      </c>
      <c r="F4" t="s">
        <v>18</v>
      </c>
      <c r="G4" t="s">
        <v>31</v>
      </c>
      <c r="H4" t="s">
        <v>32</v>
      </c>
      <c r="I4" t="s">
        <v>29</v>
      </c>
      <c r="J4" t="s">
        <v>30</v>
      </c>
    </row>
    <row r="5" spans="1:17" x14ac:dyDescent="0.25">
      <c r="A5" t="s">
        <v>33</v>
      </c>
      <c r="B5" t="s">
        <v>34</v>
      </c>
      <c r="C5" t="s">
        <v>16</v>
      </c>
      <c r="D5" t="s">
        <v>34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>
        <v>389132</v>
      </c>
      <c r="N5">
        <v>393396</v>
      </c>
      <c r="O5">
        <v>1246305</v>
      </c>
      <c r="Q5" t="s">
        <v>41</v>
      </c>
    </row>
    <row r="6" spans="1:17" x14ac:dyDescent="0.25">
      <c r="A6" t="s">
        <v>33</v>
      </c>
      <c r="B6" t="s">
        <v>34</v>
      </c>
      <c r="C6" t="s">
        <v>16</v>
      </c>
      <c r="D6" t="s">
        <v>34</v>
      </c>
      <c r="E6" t="s">
        <v>35</v>
      </c>
      <c r="F6" t="s">
        <v>18</v>
      </c>
      <c r="G6" t="s">
        <v>42</v>
      </c>
      <c r="H6" t="s">
        <v>43</v>
      </c>
      <c r="I6" t="s">
        <v>44</v>
      </c>
      <c r="J6" t="s">
        <v>39</v>
      </c>
      <c r="K6">
        <v>25255</v>
      </c>
      <c r="L6">
        <v>389132</v>
      </c>
      <c r="M6" t="s">
        <v>45</v>
      </c>
      <c r="N6">
        <v>1246287</v>
      </c>
      <c r="O6">
        <v>1246305</v>
      </c>
    </row>
    <row r="7" spans="1:17" x14ac:dyDescent="0.25">
      <c r="A7" t="s">
        <v>46</v>
      </c>
      <c r="B7" t="s">
        <v>47</v>
      </c>
      <c r="C7" t="s">
        <v>16</v>
      </c>
      <c r="D7" t="s">
        <v>47</v>
      </c>
      <c r="E7" t="s">
        <v>48</v>
      </c>
      <c r="F7" t="s">
        <v>18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7" x14ac:dyDescent="0.25">
      <c r="A8" t="s">
        <v>46</v>
      </c>
      <c r="B8" t="s">
        <v>47</v>
      </c>
      <c r="C8" t="s">
        <v>16</v>
      </c>
      <c r="D8" t="s">
        <v>47</v>
      </c>
      <c r="E8" t="s">
        <v>48</v>
      </c>
      <c r="F8" t="s">
        <v>18</v>
      </c>
      <c r="G8" t="s">
        <v>54</v>
      </c>
      <c r="H8" t="s">
        <v>55</v>
      </c>
      <c r="I8" t="s">
        <v>56</v>
      </c>
      <c r="J8" t="s">
        <v>52</v>
      </c>
      <c r="K8" t="s">
        <v>57</v>
      </c>
    </row>
    <row r="9" spans="1:17" x14ac:dyDescent="0.25">
      <c r="A9" t="s">
        <v>46</v>
      </c>
      <c r="B9" t="s">
        <v>47</v>
      </c>
      <c r="C9" t="s">
        <v>16</v>
      </c>
      <c r="D9" t="s">
        <v>47</v>
      </c>
      <c r="E9" t="s">
        <v>48</v>
      </c>
      <c r="F9" t="s">
        <v>18</v>
      </c>
      <c r="G9" t="s">
        <v>58</v>
      </c>
      <c r="H9" t="s">
        <v>59</v>
      </c>
      <c r="I9" t="s">
        <v>60</v>
      </c>
      <c r="J9" t="s">
        <v>52</v>
      </c>
      <c r="K9" t="s">
        <v>61</v>
      </c>
    </row>
    <row r="10" spans="1:17" x14ac:dyDescent="0.25">
      <c r="A10" t="s">
        <v>46</v>
      </c>
      <c r="B10" t="s">
        <v>47</v>
      </c>
      <c r="C10" t="s">
        <v>16</v>
      </c>
      <c r="D10" t="s">
        <v>47</v>
      </c>
      <c r="E10" t="s">
        <v>48</v>
      </c>
      <c r="F10" t="s">
        <v>18</v>
      </c>
      <c r="G10" t="s">
        <v>62</v>
      </c>
      <c r="H10" t="s">
        <v>63</v>
      </c>
      <c r="I10" t="s">
        <v>64</v>
      </c>
      <c r="J10" t="s">
        <v>52</v>
      </c>
    </row>
    <row r="11" spans="1:17" x14ac:dyDescent="0.25">
      <c r="A11" t="s">
        <v>46</v>
      </c>
      <c r="B11" t="s">
        <v>47</v>
      </c>
      <c r="C11" t="s">
        <v>16</v>
      </c>
      <c r="D11" t="s">
        <v>47</v>
      </c>
      <c r="E11" t="s">
        <v>48</v>
      </c>
      <c r="F11" t="s">
        <v>18</v>
      </c>
      <c r="G11" t="s">
        <v>65</v>
      </c>
      <c r="H11" t="s">
        <v>66</v>
      </c>
      <c r="I11" t="s">
        <v>64</v>
      </c>
      <c r="J11" t="s">
        <v>52</v>
      </c>
      <c r="K11" t="s">
        <v>67</v>
      </c>
    </row>
    <row r="12" spans="1:17" x14ac:dyDescent="0.25">
      <c r="A12" t="s">
        <v>46</v>
      </c>
      <c r="B12" t="s">
        <v>47</v>
      </c>
      <c r="C12" t="s">
        <v>16</v>
      </c>
      <c r="D12" t="s">
        <v>47</v>
      </c>
      <c r="E12" t="s">
        <v>48</v>
      </c>
      <c r="F12" t="s">
        <v>18</v>
      </c>
      <c r="G12" t="s">
        <v>68</v>
      </c>
      <c r="H12" t="s">
        <v>69</v>
      </c>
      <c r="I12" t="s">
        <v>70</v>
      </c>
      <c r="J12" t="s">
        <v>52</v>
      </c>
      <c r="K12" t="s">
        <v>71</v>
      </c>
    </row>
    <row r="13" spans="1:17" x14ac:dyDescent="0.25">
      <c r="A13" t="s">
        <v>46</v>
      </c>
      <c r="B13" t="s">
        <v>47</v>
      </c>
      <c r="C13" t="s">
        <v>16</v>
      </c>
      <c r="D13" t="s">
        <v>47</v>
      </c>
      <c r="E13" t="s">
        <v>48</v>
      </c>
      <c r="F13" t="s">
        <v>18</v>
      </c>
      <c r="G13" t="s">
        <v>72</v>
      </c>
      <c r="H13" t="s">
        <v>73</v>
      </c>
      <c r="I13" t="s">
        <v>74</v>
      </c>
      <c r="J13" t="s">
        <v>52</v>
      </c>
      <c r="K13" t="s">
        <v>75</v>
      </c>
    </row>
    <row r="14" spans="1:17" x14ac:dyDescent="0.25">
      <c r="A14" t="s">
        <v>46</v>
      </c>
      <c r="B14" t="s">
        <v>47</v>
      </c>
      <c r="C14" t="s">
        <v>16</v>
      </c>
      <c r="D14" t="s">
        <v>47</v>
      </c>
      <c r="E14" t="s">
        <v>48</v>
      </c>
      <c r="F14" t="s">
        <v>18</v>
      </c>
      <c r="G14" t="s">
        <v>76</v>
      </c>
      <c r="H14" t="s">
        <v>77</v>
      </c>
      <c r="I14" t="s">
        <v>78</v>
      </c>
      <c r="J14" t="s">
        <v>52</v>
      </c>
      <c r="K14" t="s">
        <v>79</v>
      </c>
      <c r="Q14" t="s">
        <v>41</v>
      </c>
    </row>
    <row r="15" spans="1:17" x14ac:dyDescent="0.25">
      <c r="A15" t="s">
        <v>46</v>
      </c>
      <c r="B15" t="s">
        <v>47</v>
      </c>
      <c r="C15" t="s">
        <v>16</v>
      </c>
      <c r="D15" t="s">
        <v>47</v>
      </c>
      <c r="E15" t="s">
        <v>48</v>
      </c>
      <c r="F15" t="s">
        <v>18</v>
      </c>
      <c r="G15" t="s">
        <v>80</v>
      </c>
      <c r="H15" t="s">
        <v>81</v>
      </c>
      <c r="I15" t="s">
        <v>82</v>
      </c>
      <c r="J15" t="s">
        <v>52</v>
      </c>
      <c r="K15">
        <v>114202</v>
      </c>
      <c r="M15" t="s">
        <v>83</v>
      </c>
      <c r="Q15" t="s">
        <v>84</v>
      </c>
    </row>
    <row r="16" spans="1:17" x14ac:dyDescent="0.25">
      <c r="A16" t="s">
        <v>46</v>
      </c>
      <c r="B16" t="s">
        <v>47</v>
      </c>
      <c r="C16" t="s">
        <v>16</v>
      </c>
      <c r="D16" t="s">
        <v>47</v>
      </c>
      <c r="E16" t="s">
        <v>48</v>
      </c>
      <c r="F16" t="s">
        <v>18</v>
      </c>
      <c r="G16" t="s">
        <v>85</v>
      </c>
      <c r="H16" t="s">
        <v>86</v>
      </c>
      <c r="I16" t="s">
        <v>87</v>
      </c>
      <c r="J16" t="s">
        <v>52</v>
      </c>
      <c r="M16" t="s">
        <v>88</v>
      </c>
    </row>
    <row r="17" spans="1:17" x14ac:dyDescent="0.25">
      <c r="A17" t="s">
        <v>46</v>
      </c>
      <c r="B17" t="s">
        <v>47</v>
      </c>
      <c r="C17" t="s">
        <v>16</v>
      </c>
      <c r="D17" t="s">
        <v>47</v>
      </c>
      <c r="E17" t="s">
        <v>48</v>
      </c>
      <c r="F17" t="s">
        <v>18</v>
      </c>
      <c r="G17" t="s">
        <v>89</v>
      </c>
      <c r="H17" t="s">
        <v>90</v>
      </c>
      <c r="I17" t="s">
        <v>91</v>
      </c>
      <c r="J17" t="s">
        <v>52</v>
      </c>
      <c r="K17">
        <v>6579</v>
      </c>
      <c r="M17">
        <v>221118</v>
      </c>
    </row>
    <row r="18" spans="1:17" x14ac:dyDescent="0.25">
      <c r="A18" t="s">
        <v>46</v>
      </c>
      <c r="B18" t="s">
        <v>47</v>
      </c>
      <c r="C18" t="s">
        <v>16</v>
      </c>
      <c r="D18" t="s">
        <v>47</v>
      </c>
      <c r="E18" t="s">
        <v>48</v>
      </c>
      <c r="F18" t="s">
        <v>18</v>
      </c>
      <c r="G18" t="s">
        <v>92</v>
      </c>
      <c r="H18" t="s">
        <v>93</v>
      </c>
      <c r="I18" t="s">
        <v>94</v>
      </c>
      <c r="J18" t="s">
        <v>52</v>
      </c>
      <c r="K18" t="s">
        <v>95</v>
      </c>
      <c r="Q18" t="s">
        <v>41</v>
      </c>
    </row>
    <row r="19" spans="1:17" x14ac:dyDescent="0.25">
      <c r="A19" t="s">
        <v>46</v>
      </c>
      <c r="B19" t="s">
        <v>47</v>
      </c>
      <c r="C19" t="s">
        <v>16</v>
      </c>
      <c r="D19" t="s">
        <v>47</v>
      </c>
      <c r="E19" t="s">
        <v>48</v>
      </c>
      <c r="F19" t="s">
        <v>18</v>
      </c>
      <c r="G19" t="s">
        <v>96</v>
      </c>
      <c r="H19" t="s">
        <v>97</v>
      </c>
      <c r="I19" t="s">
        <v>98</v>
      </c>
      <c r="J19" t="s">
        <v>52</v>
      </c>
      <c r="K19" t="s">
        <v>99</v>
      </c>
    </row>
    <row r="20" spans="1:17" x14ac:dyDescent="0.25">
      <c r="A20" t="s">
        <v>46</v>
      </c>
      <c r="B20" t="s">
        <v>47</v>
      </c>
      <c r="C20" t="s">
        <v>16</v>
      </c>
      <c r="D20" t="s">
        <v>47</v>
      </c>
      <c r="E20" t="s">
        <v>48</v>
      </c>
      <c r="F20" t="s">
        <v>18</v>
      </c>
      <c r="G20" t="s">
        <v>100</v>
      </c>
      <c r="H20" t="s">
        <v>101</v>
      </c>
      <c r="I20" t="s">
        <v>102</v>
      </c>
      <c r="J20" t="s">
        <v>52</v>
      </c>
      <c r="K20" t="s">
        <v>103</v>
      </c>
    </row>
    <row r="21" spans="1:17" x14ac:dyDescent="0.25">
      <c r="A21" t="s">
        <v>46</v>
      </c>
      <c r="B21" t="s">
        <v>47</v>
      </c>
      <c r="C21" t="s">
        <v>16</v>
      </c>
      <c r="D21" t="s">
        <v>47</v>
      </c>
      <c r="E21" t="s">
        <v>48</v>
      </c>
      <c r="F21" t="s">
        <v>18</v>
      </c>
      <c r="G21" t="s">
        <v>104</v>
      </c>
      <c r="H21" t="s">
        <v>105</v>
      </c>
      <c r="I21" t="s">
        <v>106</v>
      </c>
      <c r="J21" t="s">
        <v>52</v>
      </c>
      <c r="K21" t="s">
        <v>107</v>
      </c>
    </row>
    <row r="22" spans="1:17" x14ac:dyDescent="0.25">
      <c r="A22" t="s">
        <v>46</v>
      </c>
      <c r="B22" t="s">
        <v>47</v>
      </c>
      <c r="C22" t="s">
        <v>16</v>
      </c>
      <c r="D22" t="s">
        <v>47</v>
      </c>
      <c r="E22" t="s">
        <v>48</v>
      </c>
      <c r="F22" t="s">
        <v>18</v>
      </c>
      <c r="G22" t="s">
        <v>108</v>
      </c>
      <c r="H22" t="s">
        <v>109</v>
      </c>
      <c r="I22" t="s">
        <v>106</v>
      </c>
      <c r="J22" t="s">
        <v>52</v>
      </c>
      <c r="K22" t="s">
        <v>110</v>
      </c>
      <c r="Q22" t="s">
        <v>41</v>
      </c>
    </row>
    <row r="23" spans="1:17" x14ac:dyDescent="0.25">
      <c r="A23" t="s">
        <v>46</v>
      </c>
      <c r="B23" t="s">
        <v>47</v>
      </c>
      <c r="C23" t="s">
        <v>16</v>
      </c>
      <c r="D23" t="s">
        <v>47</v>
      </c>
      <c r="E23" t="s">
        <v>48</v>
      </c>
      <c r="F23" t="s">
        <v>18</v>
      </c>
      <c r="G23" t="s">
        <v>111</v>
      </c>
      <c r="H23" t="s">
        <v>112</v>
      </c>
      <c r="I23" t="s">
        <v>113</v>
      </c>
      <c r="J23" t="s">
        <v>52</v>
      </c>
    </row>
    <row r="24" spans="1:17" x14ac:dyDescent="0.25">
      <c r="A24" t="s">
        <v>46</v>
      </c>
      <c r="B24" t="s">
        <v>47</v>
      </c>
      <c r="C24" t="s">
        <v>16</v>
      </c>
      <c r="D24" t="s">
        <v>47</v>
      </c>
      <c r="E24" t="s">
        <v>48</v>
      </c>
      <c r="F24" t="s">
        <v>18</v>
      </c>
      <c r="G24" t="s">
        <v>114</v>
      </c>
      <c r="H24" t="s">
        <v>115</v>
      </c>
      <c r="I24" t="s">
        <v>116</v>
      </c>
      <c r="J24" t="s">
        <v>52</v>
      </c>
      <c r="K24" t="s">
        <v>117</v>
      </c>
    </row>
    <row r="25" spans="1:17" x14ac:dyDescent="0.25">
      <c r="A25" t="s">
        <v>46</v>
      </c>
      <c r="B25" t="s">
        <v>47</v>
      </c>
      <c r="C25" t="s">
        <v>16</v>
      </c>
      <c r="D25" t="s">
        <v>47</v>
      </c>
      <c r="E25" t="s">
        <v>48</v>
      </c>
      <c r="F25" t="s">
        <v>18</v>
      </c>
      <c r="G25" t="s">
        <v>118</v>
      </c>
      <c r="H25" t="s">
        <v>119</v>
      </c>
      <c r="I25" t="s">
        <v>120</v>
      </c>
      <c r="J25" t="s">
        <v>52</v>
      </c>
      <c r="K25" t="s">
        <v>121</v>
      </c>
    </row>
    <row r="26" spans="1:17" x14ac:dyDescent="0.25">
      <c r="A26" t="s">
        <v>122</v>
      </c>
      <c r="B26" t="s">
        <v>123</v>
      </c>
      <c r="C26" t="s">
        <v>16</v>
      </c>
      <c r="D26" t="s">
        <v>123</v>
      </c>
      <c r="E26" t="s">
        <v>124</v>
      </c>
      <c r="F26" t="s">
        <v>18</v>
      </c>
      <c r="G26" t="s">
        <v>125</v>
      </c>
      <c r="H26" t="s">
        <v>126</v>
      </c>
      <c r="I26" t="s">
        <v>127</v>
      </c>
      <c r="J26" t="s">
        <v>52</v>
      </c>
      <c r="K26">
        <v>4850</v>
      </c>
      <c r="M26" t="s">
        <v>128</v>
      </c>
    </row>
    <row r="27" spans="1:17" x14ac:dyDescent="0.25">
      <c r="A27" t="s">
        <v>122</v>
      </c>
      <c r="B27" t="s">
        <v>123</v>
      </c>
      <c r="C27" t="s">
        <v>16</v>
      </c>
      <c r="D27" t="s">
        <v>123</v>
      </c>
      <c r="E27" t="s">
        <v>124</v>
      </c>
      <c r="F27" t="s">
        <v>18</v>
      </c>
      <c r="G27" t="s">
        <v>76</v>
      </c>
      <c r="H27" t="s">
        <v>77</v>
      </c>
      <c r="I27" t="s">
        <v>129</v>
      </c>
      <c r="J27" t="s">
        <v>22</v>
      </c>
      <c r="K27" t="s">
        <v>79</v>
      </c>
      <c r="Q27" t="s">
        <v>41</v>
      </c>
    </row>
    <row r="28" spans="1:17" x14ac:dyDescent="0.25">
      <c r="A28" t="s">
        <v>122</v>
      </c>
      <c r="B28" t="s">
        <v>123</v>
      </c>
      <c r="C28" t="s">
        <v>16</v>
      </c>
      <c r="D28" t="s">
        <v>123</v>
      </c>
      <c r="E28" t="s">
        <v>124</v>
      </c>
      <c r="F28" t="s">
        <v>18</v>
      </c>
      <c r="G28" t="s">
        <v>80</v>
      </c>
      <c r="H28" t="s">
        <v>81</v>
      </c>
      <c r="I28" t="s">
        <v>130</v>
      </c>
      <c r="J28" t="s">
        <v>22</v>
      </c>
      <c r="K28">
        <v>114202</v>
      </c>
      <c r="M28" t="s">
        <v>83</v>
      </c>
      <c r="Q28" t="s">
        <v>84</v>
      </c>
    </row>
    <row r="29" spans="1:17" x14ac:dyDescent="0.25">
      <c r="A29" t="s">
        <v>122</v>
      </c>
      <c r="B29" t="s">
        <v>123</v>
      </c>
      <c r="C29" t="s">
        <v>16</v>
      </c>
      <c r="D29" t="s">
        <v>123</v>
      </c>
      <c r="E29" t="s">
        <v>124</v>
      </c>
      <c r="F29" t="s">
        <v>18</v>
      </c>
      <c r="G29" t="s">
        <v>131</v>
      </c>
      <c r="H29" t="s">
        <v>132</v>
      </c>
      <c r="I29" t="s">
        <v>133</v>
      </c>
      <c r="J29" t="s">
        <v>22</v>
      </c>
      <c r="K29" t="s">
        <v>134</v>
      </c>
      <c r="M29" t="s">
        <v>135</v>
      </c>
      <c r="Q29" t="s">
        <v>84</v>
      </c>
    </row>
    <row r="30" spans="1:17" x14ac:dyDescent="0.25">
      <c r="A30" t="s">
        <v>122</v>
      </c>
      <c r="B30" t="s">
        <v>123</v>
      </c>
      <c r="C30" t="s">
        <v>16</v>
      </c>
      <c r="D30" t="s">
        <v>123</v>
      </c>
      <c r="E30" t="s">
        <v>124</v>
      </c>
      <c r="F30" t="s">
        <v>18</v>
      </c>
      <c r="G30" t="s">
        <v>136</v>
      </c>
      <c r="H30" t="s">
        <v>137</v>
      </c>
      <c r="I30" t="s">
        <v>138</v>
      </c>
      <c r="J30" t="s">
        <v>22</v>
      </c>
      <c r="K30" t="s">
        <v>139</v>
      </c>
      <c r="M30" t="s">
        <v>140</v>
      </c>
      <c r="Q30" t="s">
        <v>84</v>
      </c>
    </row>
    <row r="31" spans="1:17" x14ac:dyDescent="0.25">
      <c r="A31" t="s">
        <v>141</v>
      </c>
      <c r="B31" t="s">
        <v>142</v>
      </c>
      <c r="C31" t="s">
        <v>16</v>
      </c>
      <c r="D31" t="s">
        <v>142</v>
      </c>
      <c r="E31" t="s">
        <v>143</v>
      </c>
      <c r="F31" t="s">
        <v>18</v>
      </c>
      <c r="G31" t="s">
        <v>85</v>
      </c>
      <c r="H31" t="s">
        <v>86</v>
      </c>
      <c r="I31" t="s">
        <v>144</v>
      </c>
      <c r="J31" t="s">
        <v>22</v>
      </c>
      <c r="K31">
        <v>1901</v>
      </c>
      <c r="M31" t="s">
        <v>88</v>
      </c>
    </row>
    <row r="32" spans="1:17" x14ac:dyDescent="0.25">
      <c r="A32" t="s">
        <v>141</v>
      </c>
      <c r="B32" t="s">
        <v>142</v>
      </c>
      <c r="C32" t="s">
        <v>16</v>
      </c>
      <c r="D32" t="s">
        <v>142</v>
      </c>
      <c r="E32" t="s">
        <v>143</v>
      </c>
      <c r="F32" t="s">
        <v>18</v>
      </c>
      <c r="G32" t="s">
        <v>145</v>
      </c>
      <c r="H32" t="s">
        <v>146</v>
      </c>
      <c r="I32" t="s">
        <v>70</v>
      </c>
      <c r="J32" t="s">
        <v>22</v>
      </c>
      <c r="K32" t="s">
        <v>147</v>
      </c>
      <c r="Q32" t="s">
        <v>84</v>
      </c>
    </row>
    <row r="33" spans="1:18" x14ac:dyDescent="0.25">
      <c r="A33" t="s">
        <v>141</v>
      </c>
      <c r="B33" t="s">
        <v>142</v>
      </c>
      <c r="C33" t="s">
        <v>16</v>
      </c>
      <c r="D33" t="s">
        <v>142</v>
      </c>
      <c r="E33" t="s">
        <v>143</v>
      </c>
      <c r="F33" t="s">
        <v>18</v>
      </c>
      <c r="G33" t="s">
        <v>76</v>
      </c>
      <c r="H33" t="s">
        <v>77</v>
      </c>
      <c r="I33" t="s">
        <v>149</v>
      </c>
      <c r="J33" t="s">
        <v>22</v>
      </c>
      <c r="K33" t="s">
        <v>79</v>
      </c>
      <c r="Q33" t="s">
        <v>41</v>
      </c>
    </row>
    <row r="34" spans="1:18" x14ac:dyDescent="0.25">
      <c r="A34" t="s">
        <v>141</v>
      </c>
      <c r="B34" t="s">
        <v>142</v>
      </c>
      <c r="C34" t="s">
        <v>16</v>
      </c>
      <c r="D34" t="s">
        <v>142</v>
      </c>
      <c r="E34" t="s">
        <v>143</v>
      </c>
      <c r="F34" t="s">
        <v>18</v>
      </c>
      <c r="G34" t="s">
        <v>80</v>
      </c>
      <c r="H34" t="s">
        <v>81</v>
      </c>
      <c r="I34" t="s">
        <v>150</v>
      </c>
      <c r="J34" t="s">
        <v>22</v>
      </c>
      <c r="K34">
        <v>114202</v>
      </c>
      <c r="M34" t="s">
        <v>83</v>
      </c>
      <c r="Q34" t="s">
        <v>84</v>
      </c>
    </row>
    <row r="35" spans="1:18" x14ac:dyDescent="0.25">
      <c r="A35" t="s">
        <v>141</v>
      </c>
      <c r="B35" t="s">
        <v>142</v>
      </c>
      <c r="C35" t="s">
        <v>16</v>
      </c>
      <c r="D35" t="s">
        <v>142</v>
      </c>
      <c r="E35" t="s">
        <v>143</v>
      </c>
      <c r="F35" t="s">
        <v>18</v>
      </c>
      <c r="G35" t="s">
        <v>151</v>
      </c>
      <c r="H35" t="s">
        <v>152</v>
      </c>
      <c r="I35" t="s">
        <v>153</v>
      </c>
      <c r="J35" t="s">
        <v>22</v>
      </c>
      <c r="K35" t="s">
        <v>154</v>
      </c>
    </row>
    <row r="36" spans="1:18" x14ac:dyDescent="0.25">
      <c r="A36" t="s">
        <v>155</v>
      </c>
      <c r="B36" t="s">
        <v>156</v>
      </c>
      <c r="C36" t="s">
        <v>16</v>
      </c>
      <c r="D36" t="s">
        <v>156</v>
      </c>
      <c r="E36" t="s">
        <v>157</v>
      </c>
      <c r="F36" t="s">
        <v>18</v>
      </c>
      <c r="G36" t="s">
        <v>76</v>
      </c>
      <c r="H36" t="s">
        <v>77</v>
      </c>
      <c r="I36" t="s">
        <v>158</v>
      </c>
      <c r="J36" t="s">
        <v>22</v>
      </c>
      <c r="K36" t="s">
        <v>79</v>
      </c>
      <c r="Q36" t="s">
        <v>41</v>
      </c>
    </row>
    <row r="37" spans="1:18" x14ac:dyDescent="0.25">
      <c r="A37" t="s">
        <v>155</v>
      </c>
      <c r="B37" t="s">
        <v>156</v>
      </c>
      <c r="C37" t="s">
        <v>16</v>
      </c>
      <c r="D37" t="s">
        <v>156</v>
      </c>
      <c r="E37" t="s">
        <v>157</v>
      </c>
      <c r="F37" t="s">
        <v>18</v>
      </c>
      <c r="G37" t="s">
        <v>159</v>
      </c>
      <c r="H37" t="s">
        <v>160</v>
      </c>
      <c r="I37" t="s">
        <v>161</v>
      </c>
      <c r="J37" t="s">
        <v>22</v>
      </c>
      <c r="K37" t="s">
        <v>162</v>
      </c>
      <c r="Q37" t="s">
        <v>41</v>
      </c>
    </row>
    <row r="38" spans="1:18" x14ac:dyDescent="0.25">
      <c r="A38" t="s">
        <v>155</v>
      </c>
      <c r="B38" t="s">
        <v>156</v>
      </c>
      <c r="C38" t="s">
        <v>16</v>
      </c>
      <c r="D38" t="s">
        <v>156</v>
      </c>
      <c r="E38" t="s">
        <v>157</v>
      </c>
      <c r="F38" t="s">
        <v>18</v>
      </c>
      <c r="G38" t="s">
        <v>163</v>
      </c>
      <c r="H38" t="s">
        <v>164</v>
      </c>
      <c r="I38" t="s">
        <v>165</v>
      </c>
      <c r="J38" t="s">
        <v>22</v>
      </c>
      <c r="K38">
        <v>56443</v>
      </c>
      <c r="M38" t="s">
        <v>166</v>
      </c>
    </row>
    <row r="39" spans="1:18" x14ac:dyDescent="0.25">
      <c r="A39" t="s">
        <v>155</v>
      </c>
      <c r="B39" t="s">
        <v>156</v>
      </c>
      <c r="C39" t="s">
        <v>16</v>
      </c>
      <c r="D39" t="s">
        <v>156</v>
      </c>
      <c r="E39" t="s">
        <v>157</v>
      </c>
      <c r="F39" t="s">
        <v>18</v>
      </c>
      <c r="G39" t="s">
        <v>1377</v>
      </c>
      <c r="H39" t="s">
        <v>167</v>
      </c>
      <c r="I39" t="s">
        <v>168</v>
      </c>
      <c r="J39" t="s">
        <v>22</v>
      </c>
      <c r="K39">
        <v>36709</v>
      </c>
    </row>
    <row r="40" spans="1:18" x14ac:dyDescent="0.25">
      <c r="A40" t="s">
        <v>155</v>
      </c>
      <c r="B40" t="s">
        <v>156</v>
      </c>
      <c r="C40" t="s">
        <v>16</v>
      </c>
      <c r="D40" t="s">
        <v>156</v>
      </c>
      <c r="E40" t="s">
        <v>157</v>
      </c>
      <c r="F40" t="s">
        <v>18</v>
      </c>
      <c r="G40" t="s">
        <v>169</v>
      </c>
      <c r="H40" t="s">
        <v>170</v>
      </c>
      <c r="I40" t="s">
        <v>171</v>
      </c>
      <c r="J40" t="s">
        <v>22</v>
      </c>
      <c r="K40">
        <v>4850</v>
      </c>
      <c r="M40" t="s">
        <v>172</v>
      </c>
    </row>
    <row r="41" spans="1:18" x14ac:dyDescent="0.25">
      <c r="A41" t="s">
        <v>173</v>
      </c>
      <c r="B41" t="s">
        <v>174</v>
      </c>
      <c r="C41" t="s">
        <v>16</v>
      </c>
      <c r="D41" t="s">
        <v>174</v>
      </c>
      <c r="E41" t="s">
        <v>175</v>
      </c>
      <c r="F41" t="s">
        <v>18</v>
      </c>
      <c r="G41" t="s">
        <v>176</v>
      </c>
      <c r="H41" t="s">
        <v>177</v>
      </c>
      <c r="I41" t="s">
        <v>171</v>
      </c>
      <c r="J41" t="s">
        <v>22</v>
      </c>
      <c r="K41" t="s">
        <v>178</v>
      </c>
      <c r="Q41" t="s">
        <v>41</v>
      </c>
      <c r="R41" t="str">
        <f>"https://rxnav.nlm.nih.gov/REST/brands?ingredientids="&amp;K41</f>
        <v>https://rxnav.nlm.nih.gov/REST/brands?ingredientids=10637</v>
      </c>
    </row>
    <row r="42" spans="1:18" x14ac:dyDescent="0.25">
      <c r="A42" t="s">
        <v>173</v>
      </c>
      <c r="B42" t="s">
        <v>174</v>
      </c>
      <c r="C42" t="s">
        <v>16</v>
      </c>
      <c r="D42" t="s">
        <v>174</v>
      </c>
      <c r="E42" t="s">
        <v>175</v>
      </c>
      <c r="F42" t="s">
        <v>18</v>
      </c>
      <c r="G42" t="s">
        <v>179</v>
      </c>
      <c r="H42" t="s">
        <v>180</v>
      </c>
      <c r="I42" t="s">
        <v>171</v>
      </c>
      <c r="J42" t="s">
        <v>22</v>
      </c>
      <c r="K42" t="s">
        <v>181</v>
      </c>
      <c r="Q42" t="s">
        <v>41</v>
      </c>
      <c r="R42" t="str">
        <f>R41&amp;"+"&amp;K42</f>
        <v>https://rxnav.nlm.nih.gov/REST/brands?ingredientids=10637+29787</v>
      </c>
    </row>
    <row r="43" spans="1:18" x14ac:dyDescent="0.25">
      <c r="A43" t="s">
        <v>182</v>
      </c>
      <c r="B43" t="s">
        <v>183</v>
      </c>
      <c r="C43" t="s">
        <v>16</v>
      </c>
      <c r="D43" t="s">
        <v>183</v>
      </c>
      <c r="E43" t="s">
        <v>184</v>
      </c>
      <c r="F43" t="s">
        <v>18</v>
      </c>
      <c r="G43" t="s">
        <v>76</v>
      </c>
      <c r="H43" t="s">
        <v>77</v>
      </c>
      <c r="I43" t="s">
        <v>185</v>
      </c>
      <c r="J43" t="s">
        <v>22</v>
      </c>
      <c r="K43" t="s">
        <v>79</v>
      </c>
      <c r="Q43" t="s">
        <v>41</v>
      </c>
    </row>
    <row r="44" spans="1:18" x14ac:dyDescent="0.25">
      <c r="A44" t="s">
        <v>182</v>
      </c>
      <c r="B44" t="s">
        <v>183</v>
      </c>
      <c r="C44" t="s">
        <v>16</v>
      </c>
      <c r="D44" t="s">
        <v>183</v>
      </c>
      <c r="E44" t="s">
        <v>184</v>
      </c>
      <c r="F44" t="s">
        <v>18</v>
      </c>
      <c r="G44" t="s">
        <v>145</v>
      </c>
      <c r="H44" t="s">
        <v>146</v>
      </c>
      <c r="I44" t="s">
        <v>186</v>
      </c>
      <c r="J44" t="s">
        <v>22</v>
      </c>
      <c r="K44" t="s">
        <v>147</v>
      </c>
      <c r="M44" t="s">
        <v>148</v>
      </c>
      <c r="Q44" t="s">
        <v>84</v>
      </c>
    </row>
    <row r="45" spans="1:18" x14ac:dyDescent="0.25">
      <c r="A45" t="s">
        <v>182</v>
      </c>
      <c r="B45" t="s">
        <v>183</v>
      </c>
      <c r="C45" t="s">
        <v>16</v>
      </c>
      <c r="D45" t="s">
        <v>183</v>
      </c>
      <c r="E45" t="s">
        <v>184</v>
      </c>
      <c r="F45" t="s">
        <v>18</v>
      </c>
      <c r="G45" t="s">
        <v>1378</v>
      </c>
      <c r="H45" t="s">
        <v>187</v>
      </c>
      <c r="I45" t="s">
        <v>188</v>
      </c>
      <c r="J45" t="s">
        <v>22</v>
      </c>
      <c r="K45">
        <v>235496</v>
      </c>
    </row>
    <row r="46" spans="1:18" x14ac:dyDescent="0.25">
      <c r="A46" t="s">
        <v>182</v>
      </c>
      <c r="B46" t="s">
        <v>183</v>
      </c>
      <c r="C46" t="s">
        <v>16</v>
      </c>
      <c r="D46" t="s">
        <v>183</v>
      </c>
      <c r="E46" t="s">
        <v>184</v>
      </c>
      <c r="F46" t="s">
        <v>18</v>
      </c>
      <c r="G46" t="s">
        <v>189</v>
      </c>
      <c r="H46" t="s">
        <v>190</v>
      </c>
      <c r="I46" t="s">
        <v>191</v>
      </c>
      <c r="J46" t="s">
        <v>22</v>
      </c>
      <c r="K46" t="s">
        <v>192</v>
      </c>
      <c r="Q46" t="s">
        <v>41</v>
      </c>
    </row>
    <row r="47" spans="1:18" x14ac:dyDescent="0.25">
      <c r="A47" t="s">
        <v>182</v>
      </c>
      <c r="B47" t="s">
        <v>183</v>
      </c>
      <c r="C47" t="s">
        <v>16</v>
      </c>
      <c r="D47" t="s">
        <v>183</v>
      </c>
      <c r="E47" t="s">
        <v>184</v>
      </c>
      <c r="F47" t="s">
        <v>18</v>
      </c>
      <c r="G47" t="s">
        <v>1379</v>
      </c>
      <c r="H47" t="s">
        <v>193</v>
      </c>
      <c r="I47" t="s">
        <v>194</v>
      </c>
      <c r="J47" t="s">
        <v>22</v>
      </c>
    </row>
    <row r="48" spans="1:18" x14ac:dyDescent="0.25">
      <c r="A48" t="s">
        <v>182</v>
      </c>
      <c r="B48" t="s">
        <v>183</v>
      </c>
      <c r="C48" t="s">
        <v>16</v>
      </c>
      <c r="D48" t="s">
        <v>183</v>
      </c>
      <c r="E48" t="s">
        <v>184</v>
      </c>
      <c r="F48" t="s">
        <v>18</v>
      </c>
      <c r="G48" t="s">
        <v>195</v>
      </c>
      <c r="H48" t="s">
        <v>196</v>
      </c>
      <c r="I48" t="s">
        <v>197</v>
      </c>
      <c r="J48" t="s">
        <v>22</v>
      </c>
      <c r="K48">
        <v>1378</v>
      </c>
      <c r="M48" t="s">
        <v>198</v>
      </c>
      <c r="Q48" t="s">
        <v>84</v>
      </c>
    </row>
    <row r="49" spans="1:18" x14ac:dyDescent="0.25">
      <c r="A49" t="s">
        <v>199</v>
      </c>
      <c r="B49" t="s">
        <v>200</v>
      </c>
      <c r="C49" t="s">
        <v>16</v>
      </c>
      <c r="D49" t="s">
        <v>200</v>
      </c>
      <c r="E49" t="s">
        <v>201</v>
      </c>
      <c r="F49" t="s">
        <v>18</v>
      </c>
      <c r="G49" t="s">
        <v>125</v>
      </c>
      <c r="H49" t="s">
        <v>126</v>
      </c>
      <c r="I49" t="s">
        <v>127</v>
      </c>
      <c r="J49" t="s">
        <v>52</v>
      </c>
      <c r="K49">
        <v>4850</v>
      </c>
      <c r="M49" t="s">
        <v>128</v>
      </c>
      <c r="R49" t="str">
        <f>"https://rxnav.nlm.nih.gov/REST/brands?ingredientids="&amp;K49</f>
        <v>https://rxnav.nlm.nih.gov/REST/brands?ingredientids=4850</v>
      </c>
    </row>
    <row r="50" spans="1:18" x14ac:dyDescent="0.25">
      <c r="A50" t="s">
        <v>199</v>
      </c>
      <c r="B50" t="s">
        <v>200</v>
      </c>
      <c r="C50" t="s">
        <v>16</v>
      </c>
      <c r="D50" t="s">
        <v>200</v>
      </c>
      <c r="E50" t="s">
        <v>201</v>
      </c>
      <c r="F50" t="s">
        <v>18</v>
      </c>
      <c r="G50" t="s">
        <v>76</v>
      </c>
      <c r="H50" t="s">
        <v>77</v>
      </c>
      <c r="I50" t="s">
        <v>129</v>
      </c>
      <c r="J50" t="s">
        <v>22</v>
      </c>
      <c r="K50" t="s">
        <v>79</v>
      </c>
      <c r="Q50" t="s">
        <v>41</v>
      </c>
      <c r="R50" t="str">
        <f>R49&amp;"+"&amp;K50</f>
        <v>https://rxnav.nlm.nih.gov/REST/brands?ingredientids=4850+9863</v>
      </c>
    </row>
    <row r="51" spans="1:18" x14ac:dyDescent="0.25">
      <c r="A51" t="s">
        <v>199</v>
      </c>
      <c r="B51" t="s">
        <v>200</v>
      </c>
      <c r="C51" t="s">
        <v>16</v>
      </c>
      <c r="D51" t="s">
        <v>200</v>
      </c>
      <c r="E51" t="s">
        <v>201</v>
      </c>
      <c r="F51" t="s">
        <v>18</v>
      </c>
      <c r="G51" t="s">
        <v>80</v>
      </c>
      <c r="H51" t="s">
        <v>81</v>
      </c>
      <c r="I51" t="s">
        <v>130</v>
      </c>
      <c r="J51" t="s">
        <v>22</v>
      </c>
      <c r="K51">
        <v>114202</v>
      </c>
      <c r="M51" t="s">
        <v>83</v>
      </c>
      <c r="Q51" t="s">
        <v>84</v>
      </c>
      <c r="R51" t="str">
        <f t="shared" ref="R51:R53" si="0">R50&amp;"+"&amp;K51</f>
        <v>https://rxnav.nlm.nih.gov/REST/brands?ingredientids=4850+9863+114202</v>
      </c>
    </row>
    <row r="52" spans="1:18" x14ac:dyDescent="0.25">
      <c r="A52" t="s">
        <v>199</v>
      </c>
      <c r="B52" t="s">
        <v>200</v>
      </c>
      <c r="C52" t="s">
        <v>16</v>
      </c>
      <c r="D52" t="s">
        <v>200</v>
      </c>
      <c r="E52" t="s">
        <v>201</v>
      </c>
      <c r="F52" t="s">
        <v>18</v>
      </c>
      <c r="G52" t="s">
        <v>131</v>
      </c>
      <c r="H52" t="s">
        <v>132</v>
      </c>
      <c r="I52" t="s">
        <v>202</v>
      </c>
      <c r="J52" t="s">
        <v>22</v>
      </c>
      <c r="K52" t="s">
        <v>134</v>
      </c>
      <c r="M52" t="s">
        <v>135</v>
      </c>
      <c r="Q52" t="s">
        <v>84</v>
      </c>
      <c r="R52" t="str">
        <f t="shared" si="0"/>
        <v>https://rxnav.nlm.nih.gov/REST/brands?ingredientids=4850+9863+114202+1901</v>
      </c>
    </row>
    <row r="53" spans="1:18" x14ac:dyDescent="0.25">
      <c r="A53" t="s">
        <v>199</v>
      </c>
      <c r="B53" t="s">
        <v>200</v>
      </c>
      <c r="C53" t="s">
        <v>16</v>
      </c>
      <c r="D53" t="s">
        <v>200</v>
      </c>
      <c r="E53" t="s">
        <v>201</v>
      </c>
      <c r="F53" t="s">
        <v>18</v>
      </c>
      <c r="G53" t="s">
        <v>136</v>
      </c>
      <c r="H53" t="s">
        <v>137</v>
      </c>
      <c r="I53" t="s">
        <v>138</v>
      </c>
      <c r="J53" t="s">
        <v>22</v>
      </c>
      <c r="K53" t="s">
        <v>139</v>
      </c>
      <c r="M53" t="s">
        <v>140</v>
      </c>
      <c r="Q53" t="s">
        <v>84</v>
      </c>
      <c r="R53" t="str">
        <f t="shared" si="0"/>
        <v>https://rxnav.nlm.nih.gov/REST/brands?ingredientids=4850+9863+114202+1901+6579</v>
      </c>
    </row>
    <row r="54" spans="1:18" x14ac:dyDescent="0.25">
      <c r="A54" t="s">
        <v>203</v>
      </c>
      <c r="B54" t="s">
        <v>204</v>
      </c>
      <c r="C54" t="s">
        <v>16</v>
      </c>
      <c r="D54" t="s">
        <v>204</v>
      </c>
      <c r="E54" t="s">
        <v>205</v>
      </c>
      <c r="F54" t="s">
        <v>18</v>
      </c>
      <c r="G54" t="s">
        <v>125</v>
      </c>
      <c r="H54" t="s">
        <v>126</v>
      </c>
      <c r="I54" t="s">
        <v>206</v>
      </c>
      <c r="J54" t="s">
        <v>52</v>
      </c>
      <c r="K54">
        <v>4850</v>
      </c>
      <c r="M54" t="s">
        <v>128</v>
      </c>
    </row>
    <row r="55" spans="1:18" x14ac:dyDescent="0.25">
      <c r="A55" t="s">
        <v>203</v>
      </c>
      <c r="B55" t="s">
        <v>204</v>
      </c>
      <c r="C55" t="s">
        <v>16</v>
      </c>
      <c r="D55" t="s">
        <v>204</v>
      </c>
      <c r="E55" t="s">
        <v>205</v>
      </c>
      <c r="F55" t="s">
        <v>18</v>
      </c>
      <c r="G55" t="s">
        <v>76</v>
      </c>
      <c r="H55" t="s">
        <v>77</v>
      </c>
      <c r="I55" t="s">
        <v>129</v>
      </c>
      <c r="J55" t="s">
        <v>22</v>
      </c>
      <c r="K55" t="s">
        <v>79</v>
      </c>
      <c r="Q55" t="s">
        <v>41</v>
      </c>
    </row>
    <row r="56" spans="1:18" x14ac:dyDescent="0.25">
      <c r="A56" t="s">
        <v>203</v>
      </c>
      <c r="B56" t="s">
        <v>204</v>
      </c>
      <c r="C56" t="s">
        <v>16</v>
      </c>
      <c r="D56" t="s">
        <v>204</v>
      </c>
      <c r="E56" t="s">
        <v>205</v>
      </c>
      <c r="F56" t="s">
        <v>18</v>
      </c>
      <c r="G56" t="s">
        <v>80</v>
      </c>
      <c r="H56" t="s">
        <v>81</v>
      </c>
      <c r="I56" t="s">
        <v>130</v>
      </c>
      <c r="J56" t="s">
        <v>22</v>
      </c>
      <c r="K56">
        <v>114202</v>
      </c>
      <c r="M56" t="s">
        <v>83</v>
      </c>
      <c r="Q56" t="s">
        <v>84</v>
      </c>
    </row>
    <row r="57" spans="1:18" x14ac:dyDescent="0.25">
      <c r="A57" t="s">
        <v>203</v>
      </c>
      <c r="B57" t="s">
        <v>204</v>
      </c>
      <c r="C57" t="s">
        <v>16</v>
      </c>
      <c r="D57" t="s">
        <v>204</v>
      </c>
      <c r="E57" t="s">
        <v>205</v>
      </c>
      <c r="F57" t="s">
        <v>18</v>
      </c>
      <c r="G57" t="s">
        <v>131</v>
      </c>
      <c r="H57" t="s">
        <v>132</v>
      </c>
      <c r="I57" t="s">
        <v>133</v>
      </c>
      <c r="J57" t="s">
        <v>22</v>
      </c>
      <c r="K57" t="s">
        <v>134</v>
      </c>
      <c r="M57" t="s">
        <v>135</v>
      </c>
      <c r="Q57" t="s">
        <v>84</v>
      </c>
    </row>
    <row r="58" spans="1:18" x14ac:dyDescent="0.25">
      <c r="A58" t="s">
        <v>203</v>
      </c>
      <c r="B58" t="s">
        <v>204</v>
      </c>
      <c r="C58" t="s">
        <v>16</v>
      </c>
      <c r="D58" t="s">
        <v>204</v>
      </c>
      <c r="E58" t="s">
        <v>205</v>
      </c>
      <c r="F58" t="s">
        <v>18</v>
      </c>
      <c r="G58" t="s">
        <v>136</v>
      </c>
      <c r="H58" t="s">
        <v>137</v>
      </c>
      <c r="I58" t="s">
        <v>138</v>
      </c>
      <c r="J58" t="s">
        <v>22</v>
      </c>
      <c r="K58" t="s">
        <v>139</v>
      </c>
      <c r="M58" t="s">
        <v>140</v>
      </c>
      <c r="Q58" t="s">
        <v>84</v>
      </c>
    </row>
    <row r="59" spans="1:18" x14ac:dyDescent="0.25">
      <c r="A59" t="s">
        <v>207</v>
      </c>
      <c r="B59" t="s">
        <v>208</v>
      </c>
      <c r="C59" t="s">
        <v>16</v>
      </c>
      <c r="D59" t="s">
        <v>208</v>
      </c>
      <c r="E59" t="s">
        <v>209</v>
      </c>
      <c r="F59" t="s">
        <v>18</v>
      </c>
      <c r="G59" t="s">
        <v>125</v>
      </c>
      <c r="H59" t="s">
        <v>126</v>
      </c>
      <c r="I59" t="s">
        <v>210</v>
      </c>
      <c r="J59" t="s">
        <v>52</v>
      </c>
      <c r="K59">
        <v>4850</v>
      </c>
      <c r="M59" t="s">
        <v>128</v>
      </c>
    </row>
    <row r="60" spans="1:18" x14ac:dyDescent="0.25">
      <c r="A60" t="s">
        <v>207</v>
      </c>
      <c r="B60" t="s">
        <v>208</v>
      </c>
      <c r="C60" t="s">
        <v>16</v>
      </c>
      <c r="D60" t="s">
        <v>208</v>
      </c>
      <c r="E60" t="s">
        <v>209</v>
      </c>
      <c r="F60" t="s">
        <v>18</v>
      </c>
      <c r="G60" t="s">
        <v>76</v>
      </c>
      <c r="H60" t="s">
        <v>77</v>
      </c>
      <c r="I60" t="s">
        <v>129</v>
      </c>
      <c r="J60" t="s">
        <v>22</v>
      </c>
      <c r="K60" t="s">
        <v>79</v>
      </c>
      <c r="Q60" t="s">
        <v>41</v>
      </c>
    </row>
    <row r="61" spans="1:18" x14ac:dyDescent="0.25">
      <c r="A61" t="s">
        <v>207</v>
      </c>
      <c r="B61" t="s">
        <v>208</v>
      </c>
      <c r="C61" t="s">
        <v>16</v>
      </c>
      <c r="D61" t="s">
        <v>208</v>
      </c>
      <c r="E61" t="s">
        <v>209</v>
      </c>
      <c r="F61" t="s">
        <v>18</v>
      </c>
      <c r="G61" t="s">
        <v>80</v>
      </c>
      <c r="H61" t="s">
        <v>81</v>
      </c>
      <c r="I61" t="s">
        <v>130</v>
      </c>
      <c r="J61" t="s">
        <v>22</v>
      </c>
      <c r="K61">
        <v>114202</v>
      </c>
      <c r="M61" t="s">
        <v>83</v>
      </c>
      <c r="Q61" t="s">
        <v>84</v>
      </c>
    </row>
    <row r="62" spans="1:18" x14ac:dyDescent="0.25">
      <c r="A62" t="s">
        <v>207</v>
      </c>
      <c r="B62" t="s">
        <v>208</v>
      </c>
      <c r="C62" t="s">
        <v>16</v>
      </c>
      <c r="D62" t="s">
        <v>208</v>
      </c>
      <c r="E62" t="s">
        <v>209</v>
      </c>
      <c r="F62" t="s">
        <v>18</v>
      </c>
      <c r="G62" t="s">
        <v>131</v>
      </c>
      <c r="H62" t="s">
        <v>132</v>
      </c>
      <c r="I62" t="s">
        <v>133</v>
      </c>
      <c r="J62" t="s">
        <v>22</v>
      </c>
      <c r="K62" t="s">
        <v>134</v>
      </c>
      <c r="M62" t="s">
        <v>135</v>
      </c>
      <c r="Q62" t="s">
        <v>84</v>
      </c>
    </row>
    <row r="63" spans="1:18" x14ac:dyDescent="0.25">
      <c r="A63" t="s">
        <v>207</v>
      </c>
      <c r="B63" t="s">
        <v>208</v>
      </c>
      <c r="C63" t="s">
        <v>16</v>
      </c>
      <c r="D63" t="s">
        <v>208</v>
      </c>
      <c r="E63" t="s">
        <v>209</v>
      </c>
      <c r="F63" t="s">
        <v>18</v>
      </c>
      <c r="G63" t="s">
        <v>136</v>
      </c>
      <c r="H63" t="s">
        <v>137</v>
      </c>
      <c r="I63" t="s">
        <v>138</v>
      </c>
      <c r="J63" t="s">
        <v>22</v>
      </c>
      <c r="K63" t="s">
        <v>139</v>
      </c>
      <c r="M63" t="s">
        <v>140</v>
      </c>
      <c r="Q63" t="s">
        <v>84</v>
      </c>
    </row>
    <row r="64" spans="1:18" x14ac:dyDescent="0.25">
      <c r="A64" t="s">
        <v>211</v>
      </c>
      <c r="B64" t="s">
        <v>212</v>
      </c>
      <c r="C64" t="s">
        <v>16</v>
      </c>
      <c r="D64" t="s">
        <v>212</v>
      </c>
      <c r="E64" t="s">
        <v>213</v>
      </c>
      <c r="F64" t="s">
        <v>18</v>
      </c>
      <c r="G64" t="s">
        <v>214</v>
      </c>
      <c r="H64" t="s">
        <v>215</v>
      </c>
      <c r="I64" t="s">
        <v>194</v>
      </c>
      <c r="J64" t="s">
        <v>22</v>
      </c>
      <c r="K64">
        <v>1311545</v>
      </c>
      <c r="M64" t="s">
        <v>216</v>
      </c>
    </row>
    <row r="65" spans="1:17" x14ac:dyDescent="0.25">
      <c r="A65" t="s">
        <v>211</v>
      </c>
      <c r="B65" t="s">
        <v>212</v>
      </c>
      <c r="C65" t="s">
        <v>16</v>
      </c>
      <c r="D65" t="s">
        <v>212</v>
      </c>
      <c r="E65" t="s">
        <v>213</v>
      </c>
      <c r="F65" t="s">
        <v>18</v>
      </c>
      <c r="G65" t="s">
        <v>217</v>
      </c>
      <c r="H65" t="s">
        <v>218</v>
      </c>
      <c r="I65" t="s">
        <v>197</v>
      </c>
      <c r="J65" t="s">
        <v>22</v>
      </c>
      <c r="K65">
        <v>2400</v>
      </c>
      <c r="M65" t="s">
        <v>219</v>
      </c>
      <c r="Q65" t="s">
        <v>84</v>
      </c>
    </row>
    <row r="66" spans="1:17" x14ac:dyDescent="0.25">
      <c r="A66" t="s">
        <v>211</v>
      </c>
      <c r="B66" t="s">
        <v>212</v>
      </c>
      <c r="C66" t="s">
        <v>16</v>
      </c>
      <c r="D66" t="s">
        <v>212</v>
      </c>
      <c r="E66" t="s">
        <v>213</v>
      </c>
      <c r="F66" t="s">
        <v>18</v>
      </c>
      <c r="G66" t="s">
        <v>1380</v>
      </c>
      <c r="H66" t="s">
        <v>220</v>
      </c>
      <c r="I66" t="s">
        <v>221</v>
      </c>
      <c r="J66" t="s">
        <v>22</v>
      </c>
    </row>
    <row r="67" spans="1:17" x14ac:dyDescent="0.25">
      <c r="A67" t="s">
        <v>222</v>
      </c>
      <c r="B67" t="s">
        <v>223</v>
      </c>
      <c r="C67" t="s">
        <v>16</v>
      </c>
      <c r="D67" t="s">
        <v>223</v>
      </c>
      <c r="E67" t="s">
        <v>224</v>
      </c>
      <c r="F67" t="s">
        <v>18</v>
      </c>
      <c r="G67" t="s">
        <v>225</v>
      </c>
      <c r="H67" t="s">
        <v>226</v>
      </c>
      <c r="I67" t="s">
        <v>227</v>
      </c>
      <c r="J67" t="s">
        <v>22</v>
      </c>
    </row>
    <row r="68" spans="1:17" x14ac:dyDescent="0.25">
      <c r="A68" t="s">
        <v>222</v>
      </c>
      <c r="B68" t="s">
        <v>223</v>
      </c>
      <c r="C68" t="s">
        <v>16</v>
      </c>
      <c r="D68" t="s">
        <v>223</v>
      </c>
      <c r="E68" t="s">
        <v>224</v>
      </c>
      <c r="F68" t="s">
        <v>18</v>
      </c>
      <c r="G68" t="s">
        <v>228</v>
      </c>
      <c r="H68" t="s">
        <v>229</v>
      </c>
      <c r="I68" t="s">
        <v>230</v>
      </c>
      <c r="J68" t="s">
        <v>22</v>
      </c>
      <c r="K68">
        <v>2670</v>
      </c>
      <c r="M68" t="s">
        <v>231</v>
      </c>
      <c r="Q68" t="s">
        <v>84</v>
      </c>
    </row>
    <row r="69" spans="1:17" x14ac:dyDescent="0.25">
      <c r="A69" t="s">
        <v>222</v>
      </c>
      <c r="B69" t="s">
        <v>223</v>
      </c>
      <c r="C69" t="s">
        <v>16</v>
      </c>
      <c r="D69" t="s">
        <v>223</v>
      </c>
      <c r="E69" t="s">
        <v>224</v>
      </c>
      <c r="F69" t="s">
        <v>18</v>
      </c>
      <c r="G69" t="s">
        <v>214</v>
      </c>
      <c r="H69" t="s">
        <v>215</v>
      </c>
      <c r="I69" t="s">
        <v>171</v>
      </c>
      <c r="J69" t="s">
        <v>22</v>
      </c>
      <c r="K69">
        <v>1311545</v>
      </c>
      <c r="M69" t="s">
        <v>216</v>
      </c>
    </row>
    <row r="70" spans="1:17" x14ac:dyDescent="0.25">
      <c r="A70" t="s">
        <v>222</v>
      </c>
      <c r="B70" t="s">
        <v>223</v>
      </c>
      <c r="C70" t="s">
        <v>16</v>
      </c>
      <c r="D70" t="s">
        <v>223</v>
      </c>
      <c r="E70" t="s">
        <v>224</v>
      </c>
      <c r="F70" t="s">
        <v>18</v>
      </c>
      <c r="G70" t="s">
        <v>232</v>
      </c>
      <c r="H70" t="s">
        <v>233</v>
      </c>
      <c r="I70" t="s">
        <v>234</v>
      </c>
      <c r="J70" t="s">
        <v>22</v>
      </c>
      <c r="K70" t="s">
        <v>235</v>
      </c>
    </row>
    <row r="71" spans="1:17" x14ac:dyDescent="0.25">
      <c r="A71" t="s">
        <v>222</v>
      </c>
      <c r="B71" t="s">
        <v>223</v>
      </c>
      <c r="C71" t="s">
        <v>16</v>
      </c>
      <c r="D71" t="s">
        <v>223</v>
      </c>
      <c r="E71" t="s">
        <v>224</v>
      </c>
      <c r="F71" t="s">
        <v>18</v>
      </c>
      <c r="G71" t="s">
        <v>236</v>
      </c>
      <c r="H71" t="s">
        <v>237</v>
      </c>
      <c r="I71" t="s">
        <v>234</v>
      </c>
      <c r="J71" t="s">
        <v>22</v>
      </c>
    </row>
    <row r="72" spans="1:17" x14ac:dyDescent="0.25">
      <c r="A72" t="s">
        <v>238</v>
      </c>
      <c r="B72" t="s">
        <v>239</v>
      </c>
      <c r="C72" t="s">
        <v>16</v>
      </c>
      <c r="D72" t="s">
        <v>239</v>
      </c>
      <c r="E72" t="s">
        <v>240</v>
      </c>
      <c r="F72" t="s">
        <v>18</v>
      </c>
      <c r="G72" t="s">
        <v>217</v>
      </c>
      <c r="H72" t="s">
        <v>218</v>
      </c>
      <c r="I72" t="s">
        <v>188</v>
      </c>
      <c r="J72" t="s">
        <v>22</v>
      </c>
      <c r="K72">
        <v>2400</v>
      </c>
      <c r="M72" t="s">
        <v>219</v>
      </c>
      <c r="Q72" t="s">
        <v>84</v>
      </c>
    </row>
    <row r="73" spans="1:17" x14ac:dyDescent="0.25">
      <c r="A73" t="s">
        <v>238</v>
      </c>
      <c r="B73" t="s">
        <v>239</v>
      </c>
      <c r="C73" t="s">
        <v>16</v>
      </c>
      <c r="D73" t="s">
        <v>239</v>
      </c>
      <c r="E73" t="s">
        <v>240</v>
      </c>
      <c r="F73" t="s">
        <v>18</v>
      </c>
      <c r="G73" t="s">
        <v>241</v>
      </c>
      <c r="H73" t="s">
        <v>242</v>
      </c>
      <c r="I73" t="s">
        <v>243</v>
      </c>
      <c r="J73" t="s">
        <v>244</v>
      </c>
    </row>
    <row r="74" spans="1:17" x14ac:dyDescent="0.25">
      <c r="A74" t="s">
        <v>238</v>
      </c>
      <c r="B74" t="s">
        <v>239</v>
      </c>
      <c r="C74" t="s">
        <v>16</v>
      </c>
      <c r="D74" t="s">
        <v>239</v>
      </c>
      <c r="E74" t="s">
        <v>240</v>
      </c>
      <c r="F74" t="s">
        <v>18</v>
      </c>
      <c r="G74" t="s">
        <v>245</v>
      </c>
      <c r="H74" t="s">
        <v>246</v>
      </c>
      <c r="I74" t="s">
        <v>243</v>
      </c>
      <c r="J74" t="s">
        <v>244</v>
      </c>
    </row>
    <row r="75" spans="1:17" x14ac:dyDescent="0.25">
      <c r="A75" t="s">
        <v>247</v>
      </c>
      <c r="B75" t="s">
        <v>248</v>
      </c>
      <c r="C75" t="s">
        <v>16</v>
      </c>
      <c r="D75" t="s">
        <v>248</v>
      </c>
      <c r="E75" t="s">
        <v>249</v>
      </c>
      <c r="F75" t="s">
        <v>18</v>
      </c>
      <c r="G75" t="s">
        <v>250</v>
      </c>
      <c r="H75" t="s">
        <v>251</v>
      </c>
      <c r="I75" t="s">
        <v>252</v>
      </c>
      <c r="J75" t="s">
        <v>22</v>
      </c>
      <c r="K75" t="s">
        <v>253</v>
      </c>
      <c r="Q75" t="s">
        <v>41</v>
      </c>
    </row>
    <row r="76" spans="1:17" x14ac:dyDescent="0.25">
      <c r="A76" t="s">
        <v>247</v>
      </c>
      <c r="B76" t="s">
        <v>248</v>
      </c>
      <c r="C76" t="s">
        <v>16</v>
      </c>
      <c r="D76" t="s">
        <v>248</v>
      </c>
      <c r="E76" t="s">
        <v>249</v>
      </c>
      <c r="F76" t="s">
        <v>18</v>
      </c>
      <c r="G76" t="s">
        <v>254</v>
      </c>
      <c r="H76" t="s">
        <v>255</v>
      </c>
      <c r="I76" t="s">
        <v>221</v>
      </c>
      <c r="J76" t="s">
        <v>22</v>
      </c>
    </row>
    <row r="77" spans="1:17" x14ac:dyDescent="0.25">
      <c r="A77" t="s">
        <v>247</v>
      </c>
      <c r="B77" t="s">
        <v>248</v>
      </c>
      <c r="C77" t="s">
        <v>16</v>
      </c>
      <c r="D77" t="s">
        <v>248</v>
      </c>
      <c r="E77" t="s">
        <v>249</v>
      </c>
      <c r="F77" t="s">
        <v>18</v>
      </c>
      <c r="G77" t="s">
        <v>1381</v>
      </c>
      <c r="H77" t="s">
        <v>256</v>
      </c>
      <c r="I77" t="s">
        <v>171</v>
      </c>
      <c r="J77" t="s">
        <v>22</v>
      </c>
    </row>
    <row r="78" spans="1:17" x14ac:dyDescent="0.25">
      <c r="A78" t="s">
        <v>247</v>
      </c>
      <c r="B78" t="s">
        <v>248</v>
      </c>
      <c r="C78" t="s">
        <v>16</v>
      </c>
      <c r="D78" t="s">
        <v>248</v>
      </c>
      <c r="E78" t="s">
        <v>249</v>
      </c>
      <c r="F78" t="s">
        <v>18</v>
      </c>
      <c r="G78" t="s">
        <v>257</v>
      </c>
      <c r="H78" t="s">
        <v>258</v>
      </c>
      <c r="I78" t="s">
        <v>259</v>
      </c>
      <c r="J78" t="s">
        <v>22</v>
      </c>
      <c r="K78" t="s">
        <v>260</v>
      </c>
    </row>
    <row r="79" spans="1:17" x14ac:dyDescent="0.25">
      <c r="A79" t="s">
        <v>261</v>
      </c>
      <c r="B79" t="s">
        <v>262</v>
      </c>
      <c r="C79" t="s">
        <v>16</v>
      </c>
      <c r="D79" t="s">
        <v>262</v>
      </c>
      <c r="E79" t="s">
        <v>263</v>
      </c>
      <c r="F79" t="s">
        <v>18</v>
      </c>
      <c r="G79" t="s">
        <v>1382</v>
      </c>
      <c r="H79" t="s">
        <v>264</v>
      </c>
      <c r="I79" t="s">
        <v>265</v>
      </c>
      <c r="J79" t="s">
        <v>22</v>
      </c>
      <c r="K79">
        <v>4582</v>
      </c>
      <c r="L79">
        <v>466977</v>
      </c>
      <c r="N79">
        <v>335658</v>
      </c>
      <c r="P79">
        <v>252320</v>
      </c>
    </row>
    <row r="80" spans="1:17" x14ac:dyDescent="0.25">
      <c r="A80" t="s">
        <v>261</v>
      </c>
      <c r="B80" t="s">
        <v>262</v>
      </c>
      <c r="C80" t="s">
        <v>16</v>
      </c>
      <c r="D80" t="s">
        <v>262</v>
      </c>
      <c r="E80" t="s">
        <v>263</v>
      </c>
      <c r="F80" t="s">
        <v>18</v>
      </c>
      <c r="G80" t="s">
        <v>266</v>
      </c>
      <c r="H80" t="s">
        <v>267</v>
      </c>
      <c r="I80" t="s">
        <v>268</v>
      </c>
      <c r="J80" t="s">
        <v>22</v>
      </c>
      <c r="K80" t="s">
        <v>269</v>
      </c>
      <c r="L80">
        <v>466977</v>
      </c>
      <c r="N80">
        <v>335659</v>
      </c>
      <c r="P80">
        <v>252320</v>
      </c>
      <c r="Q80" t="s">
        <v>41</v>
      </c>
    </row>
    <row r="81" spans="1:18" x14ac:dyDescent="0.25">
      <c r="A81" t="s">
        <v>270</v>
      </c>
      <c r="B81" t="s">
        <v>271</v>
      </c>
      <c r="C81" t="s">
        <v>16</v>
      </c>
      <c r="D81" t="s">
        <v>271</v>
      </c>
      <c r="E81" t="s">
        <v>272</v>
      </c>
      <c r="F81" t="s">
        <v>18</v>
      </c>
      <c r="G81" t="s">
        <v>273</v>
      </c>
      <c r="H81" t="s">
        <v>274</v>
      </c>
      <c r="I81" t="s">
        <v>275</v>
      </c>
      <c r="J81" t="s">
        <v>22</v>
      </c>
      <c r="K81" t="s">
        <v>276</v>
      </c>
      <c r="L81">
        <v>106876</v>
      </c>
      <c r="N81">
        <v>316642</v>
      </c>
      <c r="P81">
        <v>198203</v>
      </c>
      <c r="Q81" t="s">
        <v>41</v>
      </c>
      <c r="R81" t="str">
        <f>"https://rxnav.nlm.nih.gov/REST/brands?ingredientids="&amp;K81</f>
        <v>https://rxnav.nlm.nih.gov/REST/brands?ingredientids=9384</v>
      </c>
    </row>
    <row r="82" spans="1:18" x14ac:dyDescent="0.25">
      <c r="A82" t="s">
        <v>270</v>
      </c>
      <c r="B82" t="s">
        <v>271</v>
      </c>
      <c r="C82" t="s">
        <v>16</v>
      </c>
      <c r="D82" t="s">
        <v>271</v>
      </c>
      <c r="E82" t="s">
        <v>272</v>
      </c>
      <c r="F82" t="s">
        <v>18</v>
      </c>
      <c r="G82" t="s">
        <v>277</v>
      </c>
      <c r="H82" t="s">
        <v>278</v>
      </c>
      <c r="I82" t="s">
        <v>279</v>
      </c>
      <c r="J82" t="s">
        <v>22</v>
      </c>
      <c r="K82" t="s">
        <v>280</v>
      </c>
      <c r="L82">
        <v>106876</v>
      </c>
      <c r="N82">
        <v>316107</v>
      </c>
      <c r="P82">
        <v>198203</v>
      </c>
      <c r="Q82" t="s">
        <v>41</v>
      </c>
      <c r="R82" t="str">
        <f>R81&amp;"+"&amp;K82</f>
        <v>https://rxnav.nlm.nih.gov/REST/brands?ingredientids=9384+6038</v>
      </c>
    </row>
    <row r="83" spans="1:18" x14ac:dyDescent="0.25">
      <c r="A83" t="s">
        <v>281</v>
      </c>
      <c r="B83" t="s">
        <v>282</v>
      </c>
      <c r="C83" t="s">
        <v>16</v>
      </c>
      <c r="D83" t="s">
        <v>282</v>
      </c>
      <c r="E83" t="s">
        <v>283</v>
      </c>
      <c r="F83" t="s">
        <v>18</v>
      </c>
      <c r="G83" t="s">
        <v>1384</v>
      </c>
      <c r="H83" t="s">
        <v>284</v>
      </c>
      <c r="I83" t="s">
        <v>285</v>
      </c>
      <c r="J83" t="s">
        <v>22</v>
      </c>
      <c r="K83">
        <v>47628</v>
      </c>
      <c r="R83" t="str">
        <f>"https://rxnav.nlm.nih.gov/REST/brands?ingredientids="&amp;K83</f>
        <v>https://rxnav.nlm.nih.gov/REST/brands?ingredientids=47628</v>
      </c>
    </row>
    <row r="84" spans="1:18" x14ac:dyDescent="0.25">
      <c r="A84" t="s">
        <v>281</v>
      </c>
      <c r="B84" t="s">
        <v>282</v>
      </c>
      <c r="C84" t="s">
        <v>16</v>
      </c>
      <c r="D84" t="s">
        <v>282</v>
      </c>
      <c r="E84" t="s">
        <v>283</v>
      </c>
      <c r="F84" t="s">
        <v>18</v>
      </c>
      <c r="G84" t="s">
        <v>286</v>
      </c>
      <c r="H84" t="s">
        <v>287</v>
      </c>
      <c r="I84" t="s">
        <v>288</v>
      </c>
      <c r="J84" t="s">
        <v>289</v>
      </c>
      <c r="K84" t="s">
        <v>290</v>
      </c>
      <c r="M84" t="s">
        <v>291</v>
      </c>
      <c r="Q84" t="s">
        <v>84</v>
      </c>
      <c r="R84" t="str">
        <f>R83&amp;"+"&amp;K84</f>
        <v>https://rxnav.nlm.nih.gov/REST/brands?ingredientids=47628+11246</v>
      </c>
    </row>
    <row r="85" spans="1:18" x14ac:dyDescent="0.25">
      <c r="A85" t="s">
        <v>281</v>
      </c>
      <c r="B85" t="s">
        <v>282</v>
      </c>
      <c r="C85" t="s">
        <v>16</v>
      </c>
      <c r="D85" t="s">
        <v>282</v>
      </c>
      <c r="E85" t="s">
        <v>283</v>
      </c>
      <c r="F85" t="s">
        <v>18</v>
      </c>
      <c r="G85" t="s">
        <v>292</v>
      </c>
      <c r="H85" t="s">
        <v>293</v>
      </c>
      <c r="I85" t="s">
        <v>288</v>
      </c>
      <c r="J85" t="s">
        <v>289</v>
      </c>
      <c r="L85">
        <v>1007121</v>
      </c>
    </row>
    <row r="86" spans="1:18" x14ac:dyDescent="0.25">
      <c r="A86" t="s">
        <v>294</v>
      </c>
      <c r="B86" t="s">
        <v>295</v>
      </c>
      <c r="C86" t="s">
        <v>16</v>
      </c>
      <c r="D86" t="s">
        <v>295</v>
      </c>
      <c r="E86" t="s">
        <v>296</v>
      </c>
      <c r="F86" t="s">
        <v>18</v>
      </c>
      <c r="G86" t="s">
        <v>297</v>
      </c>
      <c r="H86" t="s">
        <v>298</v>
      </c>
      <c r="I86" t="s">
        <v>299</v>
      </c>
      <c r="J86" t="s">
        <v>300</v>
      </c>
      <c r="K86">
        <v>8536</v>
      </c>
      <c r="M86" t="s">
        <v>301</v>
      </c>
      <c r="Q86" t="s">
        <v>84</v>
      </c>
      <c r="R86" t="str">
        <f>"https://rxnav.nlm.nih.gov/REST/brands?ingredientids="&amp;K86</f>
        <v>https://rxnav.nlm.nih.gov/REST/brands?ingredientids=8536</v>
      </c>
    </row>
    <row r="87" spans="1:18" x14ac:dyDescent="0.25">
      <c r="A87" t="s">
        <v>294</v>
      </c>
      <c r="B87" t="s">
        <v>295</v>
      </c>
      <c r="C87" t="s">
        <v>16</v>
      </c>
      <c r="D87" t="s">
        <v>295</v>
      </c>
      <c r="E87" t="s">
        <v>296</v>
      </c>
      <c r="F87" t="s">
        <v>18</v>
      </c>
      <c r="G87" t="s">
        <v>302</v>
      </c>
      <c r="H87" t="s">
        <v>303</v>
      </c>
      <c r="I87" t="s">
        <v>221</v>
      </c>
      <c r="J87" t="s">
        <v>22</v>
      </c>
      <c r="K87">
        <v>7299</v>
      </c>
      <c r="M87" t="s">
        <v>304</v>
      </c>
      <c r="Q87" t="s">
        <v>84</v>
      </c>
      <c r="R87" t="str">
        <f>R86&amp;"+"&amp;K87</f>
        <v>https://rxnav.nlm.nih.gov/REST/brands?ingredientids=8536+7299</v>
      </c>
    </row>
    <row r="88" spans="1:18" x14ac:dyDescent="0.25">
      <c r="A88" t="s">
        <v>294</v>
      </c>
      <c r="B88" t="s">
        <v>295</v>
      </c>
      <c r="C88" t="s">
        <v>16</v>
      </c>
      <c r="D88" t="s">
        <v>295</v>
      </c>
      <c r="E88" t="s">
        <v>296</v>
      </c>
      <c r="F88" t="s">
        <v>18</v>
      </c>
      <c r="G88" t="s">
        <v>305</v>
      </c>
      <c r="H88" t="s">
        <v>306</v>
      </c>
      <c r="I88" t="s">
        <v>307</v>
      </c>
      <c r="J88" t="s">
        <v>22</v>
      </c>
      <c r="K88">
        <v>6387</v>
      </c>
      <c r="M88" t="s">
        <v>308</v>
      </c>
      <c r="R88" t="str">
        <f>R87&amp;"+"&amp;K88</f>
        <v>https://rxnav.nlm.nih.gov/REST/brands?ingredientids=8536+7299+6387</v>
      </c>
    </row>
    <row r="89" spans="1:18" x14ac:dyDescent="0.25">
      <c r="A89" t="s">
        <v>309</v>
      </c>
      <c r="B89" t="s">
        <v>310</v>
      </c>
      <c r="C89" t="s">
        <v>16</v>
      </c>
      <c r="D89" t="s">
        <v>310</v>
      </c>
      <c r="E89" t="s">
        <v>311</v>
      </c>
      <c r="F89" t="s">
        <v>18</v>
      </c>
      <c r="G89" t="s">
        <v>1385</v>
      </c>
      <c r="H89" t="s">
        <v>312</v>
      </c>
      <c r="I89" t="s">
        <v>313</v>
      </c>
      <c r="J89" t="s">
        <v>22</v>
      </c>
      <c r="K89">
        <v>9794</v>
      </c>
    </row>
    <row r="90" spans="1:18" x14ac:dyDescent="0.25">
      <c r="A90" t="s">
        <v>309</v>
      </c>
      <c r="B90" t="s">
        <v>310</v>
      </c>
      <c r="C90" t="s">
        <v>16</v>
      </c>
      <c r="D90" t="s">
        <v>310</v>
      </c>
      <c r="E90" t="s">
        <v>311</v>
      </c>
      <c r="F90" t="s">
        <v>18</v>
      </c>
      <c r="G90" t="s">
        <v>314</v>
      </c>
      <c r="H90" t="s">
        <v>315</v>
      </c>
      <c r="I90" t="s">
        <v>316</v>
      </c>
      <c r="J90" t="s">
        <v>22</v>
      </c>
      <c r="K90">
        <v>10454</v>
      </c>
      <c r="M90" t="s">
        <v>317</v>
      </c>
      <c r="Q90" t="s">
        <v>84</v>
      </c>
    </row>
    <row r="91" spans="1:18" x14ac:dyDescent="0.25">
      <c r="A91" t="s">
        <v>309</v>
      </c>
      <c r="B91" t="s">
        <v>310</v>
      </c>
      <c r="C91" t="s">
        <v>16</v>
      </c>
      <c r="D91" t="s">
        <v>310</v>
      </c>
      <c r="E91" t="s">
        <v>311</v>
      </c>
      <c r="F91" t="s">
        <v>18</v>
      </c>
      <c r="G91" t="s">
        <v>318</v>
      </c>
      <c r="H91" t="s">
        <v>319</v>
      </c>
      <c r="I91" t="s">
        <v>316</v>
      </c>
      <c r="J91" t="s">
        <v>22</v>
      </c>
      <c r="K91" t="s">
        <v>320</v>
      </c>
    </row>
    <row r="92" spans="1:18" x14ac:dyDescent="0.25">
      <c r="A92" t="s">
        <v>309</v>
      </c>
      <c r="B92" t="s">
        <v>310</v>
      </c>
      <c r="C92" t="s">
        <v>16</v>
      </c>
      <c r="D92" t="s">
        <v>310</v>
      </c>
      <c r="E92" t="s">
        <v>311</v>
      </c>
      <c r="F92" t="s">
        <v>18</v>
      </c>
      <c r="G92" t="s">
        <v>321</v>
      </c>
      <c r="H92" t="s">
        <v>322</v>
      </c>
      <c r="I92" t="s">
        <v>316</v>
      </c>
      <c r="J92" t="s">
        <v>22</v>
      </c>
      <c r="K92">
        <v>684879</v>
      </c>
      <c r="M92" t="s">
        <v>323</v>
      </c>
    </row>
    <row r="93" spans="1:18" x14ac:dyDescent="0.25">
      <c r="A93" t="s">
        <v>309</v>
      </c>
      <c r="B93" t="s">
        <v>310</v>
      </c>
      <c r="C93" t="s">
        <v>16</v>
      </c>
      <c r="D93" t="s">
        <v>310</v>
      </c>
      <c r="E93" t="s">
        <v>311</v>
      </c>
      <c r="F93" t="s">
        <v>18</v>
      </c>
      <c r="G93" t="s">
        <v>1386</v>
      </c>
      <c r="H93" t="s">
        <v>325</v>
      </c>
      <c r="I93" t="s">
        <v>326</v>
      </c>
      <c r="J93" t="s">
        <v>22</v>
      </c>
      <c r="K93">
        <v>7405</v>
      </c>
    </row>
    <row r="94" spans="1:18" x14ac:dyDescent="0.25">
      <c r="A94" t="s">
        <v>309</v>
      </c>
      <c r="B94" t="s">
        <v>310</v>
      </c>
      <c r="C94" t="s">
        <v>16</v>
      </c>
      <c r="D94" t="s">
        <v>310</v>
      </c>
      <c r="E94" t="s">
        <v>311</v>
      </c>
      <c r="F94" t="s">
        <v>18</v>
      </c>
      <c r="G94" t="s">
        <v>327</v>
      </c>
      <c r="H94" t="s">
        <v>328</v>
      </c>
      <c r="I94" t="s">
        <v>288</v>
      </c>
      <c r="J94" t="s">
        <v>22</v>
      </c>
      <c r="K94">
        <v>62400</v>
      </c>
      <c r="M94" t="s">
        <v>329</v>
      </c>
    </row>
    <row r="95" spans="1:18" x14ac:dyDescent="0.25">
      <c r="A95" t="s">
        <v>309</v>
      </c>
      <c r="B95" t="s">
        <v>310</v>
      </c>
      <c r="C95" t="s">
        <v>16</v>
      </c>
      <c r="D95" t="s">
        <v>310</v>
      </c>
      <c r="E95" t="s">
        <v>311</v>
      </c>
      <c r="F95" t="s">
        <v>18</v>
      </c>
      <c r="G95" t="s">
        <v>1387</v>
      </c>
      <c r="H95" t="s">
        <v>331</v>
      </c>
      <c r="I95" t="s">
        <v>332</v>
      </c>
      <c r="J95" t="s">
        <v>39</v>
      </c>
      <c r="K95" t="s">
        <v>333</v>
      </c>
    </row>
    <row r="96" spans="1:18" x14ac:dyDescent="0.25">
      <c r="A96" t="s">
        <v>334</v>
      </c>
      <c r="B96" t="s">
        <v>335</v>
      </c>
      <c r="C96" t="s">
        <v>16</v>
      </c>
      <c r="D96" t="s">
        <v>335</v>
      </c>
      <c r="E96" t="s">
        <v>336</v>
      </c>
      <c r="F96" t="s">
        <v>18</v>
      </c>
      <c r="G96" t="s">
        <v>125</v>
      </c>
      <c r="H96" t="s">
        <v>126</v>
      </c>
      <c r="I96" t="s">
        <v>337</v>
      </c>
      <c r="J96" t="s">
        <v>52</v>
      </c>
      <c r="K96">
        <v>4850</v>
      </c>
      <c r="M96" t="s">
        <v>128</v>
      </c>
    </row>
    <row r="97" spans="1:18" x14ac:dyDescent="0.25">
      <c r="A97" t="s">
        <v>334</v>
      </c>
      <c r="B97" t="s">
        <v>335</v>
      </c>
      <c r="C97" t="s">
        <v>16</v>
      </c>
      <c r="D97" t="s">
        <v>335</v>
      </c>
      <c r="E97" t="s">
        <v>336</v>
      </c>
      <c r="F97" t="s">
        <v>18</v>
      </c>
      <c r="G97" t="s">
        <v>76</v>
      </c>
      <c r="H97" t="s">
        <v>77</v>
      </c>
      <c r="I97" t="s">
        <v>337</v>
      </c>
      <c r="J97" t="s">
        <v>22</v>
      </c>
      <c r="K97" t="s">
        <v>79</v>
      </c>
      <c r="Q97" t="s">
        <v>41</v>
      </c>
    </row>
    <row r="98" spans="1:18" x14ac:dyDescent="0.25">
      <c r="A98" t="s">
        <v>334</v>
      </c>
      <c r="B98" t="s">
        <v>335</v>
      </c>
      <c r="C98" t="s">
        <v>16</v>
      </c>
      <c r="D98" t="s">
        <v>335</v>
      </c>
      <c r="E98" t="s">
        <v>336</v>
      </c>
      <c r="F98" t="s">
        <v>18</v>
      </c>
      <c r="G98" t="s">
        <v>80</v>
      </c>
      <c r="H98" t="s">
        <v>81</v>
      </c>
      <c r="I98" t="s">
        <v>130</v>
      </c>
      <c r="J98" t="s">
        <v>22</v>
      </c>
      <c r="K98">
        <v>114202</v>
      </c>
      <c r="M98" t="s">
        <v>83</v>
      </c>
      <c r="Q98" t="s">
        <v>84</v>
      </c>
    </row>
    <row r="99" spans="1:18" x14ac:dyDescent="0.25">
      <c r="A99" t="s">
        <v>334</v>
      </c>
      <c r="B99" t="s">
        <v>335</v>
      </c>
      <c r="C99" t="s">
        <v>16</v>
      </c>
      <c r="D99" t="s">
        <v>335</v>
      </c>
      <c r="E99" t="s">
        <v>336</v>
      </c>
      <c r="F99" t="s">
        <v>18</v>
      </c>
      <c r="G99" t="s">
        <v>131</v>
      </c>
      <c r="H99" t="s">
        <v>132</v>
      </c>
      <c r="I99" t="s">
        <v>337</v>
      </c>
      <c r="J99" t="s">
        <v>22</v>
      </c>
      <c r="K99" t="s">
        <v>134</v>
      </c>
      <c r="M99" t="s">
        <v>135</v>
      </c>
      <c r="Q99" t="s">
        <v>84</v>
      </c>
    </row>
    <row r="100" spans="1:18" x14ac:dyDescent="0.25">
      <c r="A100" t="s">
        <v>334</v>
      </c>
      <c r="B100" t="s">
        <v>335</v>
      </c>
      <c r="C100" t="s">
        <v>16</v>
      </c>
      <c r="D100" t="s">
        <v>335</v>
      </c>
      <c r="E100" t="s">
        <v>336</v>
      </c>
      <c r="F100" t="s">
        <v>18</v>
      </c>
      <c r="G100" t="s">
        <v>136</v>
      </c>
      <c r="H100" t="s">
        <v>137</v>
      </c>
      <c r="I100" t="s">
        <v>337</v>
      </c>
      <c r="J100" t="s">
        <v>22</v>
      </c>
      <c r="K100" t="s">
        <v>139</v>
      </c>
      <c r="M100" t="s">
        <v>140</v>
      </c>
      <c r="Q100" t="s">
        <v>84</v>
      </c>
    </row>
    <row r="101" spans="1:18" x14ac:dyDescent="0.25">
      <c r="A101" t="s">
        <v>338</v>
      </c>
      <c r="B101" t="s">
        <v>339</v>
      </c>
      <c r="C101" t="s">
        <v>16</v>
      </c>
      <c r="D101" t="s">
        <v>339</v>
      </c>
      <c r="E101" t="s">
        <v>340</v>
      </c>
      <c r="F101" t="s">
        <v>18</v>
      </c>
      <c r="G101" t="s">
        <v>341</v>
      </c>
      <c r="H101" t="s">
        <v>342</v>
      </c>
      <c r="I101" t="s">
        <v>343</v>
      </c>
      <c r="J101" t="s">
        <v>22</v>
      </c>
      <c r="K101" t="s">
        <v>344</v>
      </c>
      <c r="L101">
        <v>1100741</v>
      </c>
      <c r="Q101" t="s">
        <v>41</v>
      </c>
      <c r="R101" t="str">
        <f>"https://rxnav.nlm.nih.gov/REST/brands?ingredientids="&amp;K101</f>
        <v>https://rxnav.nlm.nih.gov/REST/brands?ingredientids=140480</v>
      </c>
    </row>
    <row r="102" spans="1:18" x14ac:dyDescent="0.25">
      <c r="A102" t="s">
        <v>338</v>
      </c>
      <c r="B102" t="s">
        <v>339</v>
      </c>
      <c r="C102" t="s">
        <v>16</v>
      </c>
      <c r="D102" t="s">
        <v>339</v>
      </c>
      <c r="E102" t="s">
        <v>340</v>
      </c>
      <c r="F102" t="s">
        <v>18</v>
      </c>
      <c r="G102" t="s">
        <v>80</v>
      </c>
      <c r="H102" t="s">
        <v>81</v>
      </c>
      <c r="I102" t="s">
        <v>82</v>
      </c>
      <c r="J102" t="s">
        <v>22</v>
      </c>
      <c r="K102">
        <v>114202</v>
      </c>
      <c r="L102">
        <v>1100741</v>
      </c>
      <c r="M102" t="s">
        <v>83</v>
      </c>
      <c r="Q102" t="s">
        <v>84</v>
      </c>
      <c r="R102" t="str">
        <f>R101&amp;"+"&amp;K102</f>
        <v>https://rxnav.nlm.nih.gov/REST/brands?ingredientids=140480+114202</v>
      </c>
    </row>
    <row r="103" spans="1:18" x14ac:dyDescent="0.25">
      <c r="A103" t="s">
        <v>338</v>
      </c>
      <c r="B103" t="s">
        <v>339</v>
      </c>
      <c r="C103" t="s">
        <v>16</v>
      </c>
      <c r="D103" t="s">
        <v>339</v>
      </c>
      <c r="E103" t="s">
        <v>340</v>
      </c>
      <c r="F103" t="s">
        <v>18</v>
      </c>
      <c r="G103" t="s">
        <v>136</v>
      </c>
      <c r="H103" t="s">
        <v>137</v>
      </c>
      <c r="I103" t="s">
        <v>91</v>
      </c>
      <c r="J103" t="s">
        <v>22</v>
      </c>
      <c r="K103" t="s">
        <v>139</v>
      </c>
      <c r="L103">
        <v>1100741</v>
      </c>
      <c r="M103" t="s">
        <v>140</v>
      </c>
      <c r="Q103" t="s">
        <v>84</v>
      </c>
      <c r="R103" t="str">
        <f t="shared" ref="R103:R105" si="1">R102&amp;"+"&amp;K103</f>
        <v>https://rxnav.nlm.nih.gov/REST/brands?ingredientids=140480+114202+6579</v>
      </c>
    </row>
    <row r="104" spans="1:18" x14ac:dyDescent="0.25">
      <c r="A104" t="s">
        <v>338</v>
      </c>
      <c r="B104" t="s">
        <v>339</v>
      </c>
      <c r="C104" t="s">
        <v>16</v>
      </c>
      <c r="D104" t="s">
        <v>339</v>
      </c>
      <c r="E104" t="s">
        <v>340</v>
      </c>
      <c r="F104" t="s">
        <v>18</v>
      </c>
      <c r="G104" t="s">
        <v>76</v>
      </c>
      <c r="H104" t="s">
        <v>77</v>
      </c>
      <c r="I104" t="s">
        <v>78</v>
      </c>
      <c r="J104" t="s">
        <v>22</v>
      </c>
      <c r="K104" t="s">
        <v>79</v>
      </c>
      <c r="L104">
        <v>1100741</v>
      </c>
      <c r="Q104" t="s">
        <v>41</v>
      </c>
      <c r="R104" t="str">
        <f t="shared" si="1"/>
        <v>https://rxnav.nlm.nih.gov/REST/brands?ingredientids=140480+114202+6579+9863</v>
      </c>
    </row>
    <row r="105" spans="1:18" x14ac:dyDescent="0.25">
      <c r="A105" t="s">
        <v>338</v>
      </c>
      <c r="B105" t="s">
        <v>339</v>
      </c>
      <c r="C105" t="s">
        <v>16</v>
      </c>
      <c r="D105" t="s">
        <v>339</v>
      </c>
      <c r="E105" t="s">
        <v>340</v>
      </c>
      <c r="F105" t="s">
        <v>18</v>
      </c>
      <c r="G105" t="s">
        <v>131</v>
      </c>
      <c r="H105" t="s">
        <v>132</v>
      </c>
      <c r="I105" t="s">
        <v>345</v>
      </c>
      <c r="J105" t="s">
        <v>22</v>
      </c>
      <c r="K105" t="s">
        <v>134</v>
      </c>
      <c r="L105">
        <v>1100741</v>
      </c>
      <c r="M105" t="s">
        <v>135</v>
      </c>
      <c r="Q105" t="s">
        <v>84</v>
      </c>
      <c r="R105" t="str">
        <f t="shared" si="1"/>
        <v>https://rxnav.nlm.nih.gov/REST/brands?ingredientids=140480+114202+6579+9863+1901</v>
      </c>
    </row>
    <row r="106" spans="1:18" x14ac:dyDescent="0.25">
      <c r="A106" t="s">
        <v>346</v>
      </c>
      <c r="B106" t="s">
        <v>347</v>
      </c>
      <c r="C106" t="s">
        <v>16</v>
      </c>
      <c r="D106" t="s">
        <v>347</v>
      </c>
      <c r="E106" t="s">
        <v>348</v>
      </c>
      <c r="F106" t="s">
        <v>18</v>
      </c>
      <c r="G106" t="s">
        <v>349</v>
      </c>
      <c r="H106" t="s">
        <v>350</v>
      </c>
      <c r="I106" t="s">
        <v>29</v>
      </c>
      <c r="J106" t="s">
        <v>30</v>
      </c>
    </row>
    <row r="107" spans="1:18" x14ac:dyDescent="0.25">
      <c r="A107" t="s">
        <v>346</v>
      </c>
      <c r="B107" t="s">
        <v>347</v>
      </c>
      <c r="C107" t="s">
        <v>16</v>
      </c>
      <c r="D107" t="s">
        <v>347</v>
      </c>
      <c r="E107" t="s">
        <v>348</v>
      </c>
      <c r="F107" t="s">
        <v>18</v>
      </c>
      <c r="G107" t="s">
        <v>351</v>
      </c>
      <c r="H107" t="s">
        <v>352</v>
      </c>
      <c r="I107" t="s">
        <v>29</v>
      </c>
      <c r="J107" t="s">
        <v>30</v>
      </c>
    </row>
    <row r="108" spans="1:18" x14ac:dyDescent="0.25">
      <c r="A108" t="s">
        <v>353</v>
      </c>
      <c r="B108" t="s">
        <v>354</v>
      </c>
      <c r="C108" t="s">
        <v>16</v>
      </c>
      <c r="D108" t="s">
        <v>354</v>
      </c>
      <c r="E108" t="s">
        <v>355</v>
      </c>
      <c r="F108" t="s">
        <v>18</v>
      </c>
      <c r="G108" t="s">
        <v>356</v>
      </c>
      <c r="H108" t="s">
        <v>357</v>
      </c>
      <c r="I108" t="s">
        <v>358</v>
      </c>
      <c r="J108" t="s">
        <v>22</v>
      </c>
      <c r="K108">
        <v>7247</v>
      </c>
      <c r="M108" t="s">
        <v>359</v>
      </c>
      <c r="R108" t="str">
        <f>"https://rxnav.nlm.nih.gov/REST/brands?ingredientids="&amp;K108</f>
        <v>https://rxnav.nlm.nih.gov/REST/brands?ingredientids=7247</v>
      </c>
    </row>
    <row r="109" spans="1:18" x14ac:dyDescent="0.25">
      <c r="A109" t="s">
        <v>353</v>
      </c>
      <c r="B109" t="s">
        <v>354</v>
      </c>
      <c r="C109" t="s">
        <v>16</v>
      </c>
      <c r="D109" t="s">
        <v>354</v>
      </c>
      <c r="E109" t="s">
        <v>355</v>
      </c>
      <c r="F109" t="s">
        <v>18</v>
      </c>
      <c r="G109" t="s">
        <v>217</v>
      </c>
      <c r="H109" t="s">
        <v>218</v>
      </c>
      <c r="I109" t="s">
        <v>316</v>
      </c>
      <c r="J109" t="s">
        <v>22</v>
      </c>
      <c r="K109">
        <v>2400</v>
      </c>
      <c r="M109" t="s">
        <v>219</v>
      </c>
      <c r="Q109" t="s">
        <v>84</v>
      </c>
      <c r="R109" t="str">
        <f>R108&amp;"+"&amp;K109</f>
        <v>https://rxnav.nlm.nih.gov/REST/brands?ingredientids=7247+2400</v>
      </c>
    </row>
    <row r="110" spans="1:18" x14ac:dyDescent="0.25">
      <c r="A110" t="s">
        <v>360</v>
      </c>
      <c r="B110" t="s">
        <v>361</v>
      </c>
      <c r="C110" t="s">
        <v>16</v>
      </c>
      <c r="D110" t="s">
        <v>361</v>
      </c>
      <c r="E110" t="s">
        <v>362</v>
      </c>
      <c r="F110" t="s">
        <v>18</v>
      </c>
      <c r="G110" t="s">
        <v>1388</v>
      </c>
      <c r="H110" t="s">
        <v>363</v>
      </c>
      <c r="I110" t="s">
        <v>265</v>
      </c>
      <c r="J110" t="s">
        <v>22</v>
      </c>
      <c r="K110">
        <v>4910</v>
      </c>
      <c r="R110" t="str">
        <f>"https://rxnav.nlm.nih.gov/REST/brands?ingredientids="&amp;K110</f>
        <v>https://rxnav.nlm.nih.gov/REST/brands?ingredientids=4910</v>
      </c>
    </row>
    <row r="111" spans="1:18" x14ac:dyDescent="0.25">
      <c r="A111" t="s">
        <v>360</v>
      </c>
      <c r="B111" t="s">
        <v>361</v>
      </c>
      <c r="C111" t="s">
        <v>16</v>
      </c>
      <c r="D111" t="s">
        <v>361</v>
      </c>
      <c r="E111" t="s">
        <v>362</v>
      </c>
      <c r="F111" t="s">
        <v>18</v>
      </c>
      <c r="G111" t="s">
        <v>1389</v>
      </c>
      <c r="H111" t="s">
        <v>364</v>
      </c>
      <c r="I111" t="s">
        <v>153</v>
      </c>
      <c r="J111" t="s">
        <v>22</v>
      </c>
      <c r="K111">
        <v>4570</v>
      </c>
      <c r="R111" t="str">
        <f>R110&amp;"+"&amp;K111</f>
        <v>https://rxnav.nlm.nih.gov/REST/brands?ingredientids=4910+4570</v>
      </c>
    </row>
    <row r="112" spans="1:18" x14ac:dyDescent="0.25">
      <c r="A112" t="s">
        <v>360</v>
      </c>
      <c r="B112" t="s">
        <v>361</v>
      </c>
      <c r="C112" t="s">
        <v>16</v>
      </c>
      <c r="D112" t="s">
        <v>361</v>
      </c>
      <c r="E112" t="s">
        <v>362</v>
      </c>
      <c r="F112" t="s">
        <v>18</v>
      </c>
      <c r="G112" t="s">
        <v>76</v>
      </c>
      <c r="H112" t="s">
        <v>77</v>
      </c>
      <c r="I112" t="s">
        <v>191</v>
      </c>
      <c r="J112" t="s">
        <v>22</v>
      </c>
      <c r="K112" t="s">
        <v>79</v>
      </c>
      <c r="Q112" t="s">
        <v>41</v>
      </c>
      <c r="R112" t="str">
        <f>R111&amp;"+"&amp;K112</f>
        <v>https://rxnav.nlm.nih.gov/REST/brands?ingredientids=4910+4570+9863</v>
      </c>
    </row>
    <row r="113" spans="1:18" x14ac:dyDescent="0.25">
      <c r="A113" t="s">
        <v>365</v>
      </c>
      <c r="B113" t="s">
        <v>366</v>
      </c>
      <c r="C113" t="s">
        <v>16</v>
      </c>
      <c r="D113" t="s">
        <v>366</v>
      </c>
      <c r="E113" t="s">
        <v>367</v>
      </c>
      <c r="F113" t="s">
        <v>18</v>
      </c>
      <c r="G113" t="s">
        <v>368</v>
      </c>
      <c r="H113" t="s">
        <v>369</v>
      </c>
      <c r="I113" t="s">
        <v>370</v>
      </c>
      <c r="J113" t="s">
        <v>22</v>
      </c>
      <c r="K113">
        <v>17767</v>
      </c>
      <c r="L113">
        <v>214223</v>
      </c>
      <c r="M113" t="s">
        <v>371</v>
      </c>
      <c r="N113">
        <v>329528</v>
      </c>
      <c r="Q113" t="s">
        <v>84</v>
      </c>
      <c r="R113" t="str">
        <f>"https://rxnav.nlm.nih.gov/REST/brands?ingredientids="&amp;K113</f>
        <v>https://rxnav.nlm.nih.gov/REST/brands?ingredientids=17767</v>
      </c>
    </row>
    <row r="114" spans="1:18" x14ac:dyDescent="0.25">
      <c r="A114" t="s">
        <v>365</v>
      </c>
      <c r="B114" t="s">
        <v>366</v>
      </c>
      <c r="C114" t="s">
        <v>16</v>
      </c>
      <c r="D114" t="s">
        <v>366</v>
      </c>
      <c r="E114" t="s">
        <v>367</v>
      </c>
      <c r="F114" t="s">
        <v>18</v>
      </c>
      <c r="G114" t="s">
        <v>372</v>
      </c>
      <c r="H114" t="s">
        <v>373</v>
      </c>
      <c r="I114" t="s">
        <v>259</v>
      </c>
      <c r="J114" t="s">
        <v>22</v>
      </c>
      <c r="K114">
        <v>18867</v>
      </c>
      <c r="L114">
        <v>214223</v>
      </c>
      <c r="M114" t="s">
        <v>374</v>
      </c>
      <c r="Q114" t="s">
        <v>84</v>
      </c>
      <c r="R114" t="str">
        <f>R113&amp;"+"&amp;K114</f>
        <v>https://rxnav.nlm.nih.gov/REST/brands?ingredientids=17767+18867</v>
      </c>
    </row>
    <row r="115" spans="1:18" x14ac:dyDescent="0.25">
      <c r="A115" t="s">
        <v>375</v>
      </c>
      <c r="B115" t="s">
        <v>376</v>
      </c>
      <c r="C115" t="s">
        <v>16</v>
      </c>
      <c r="D115" t="s">
        <v>376</v>
      </c>
      <c r="E115" t="s">
        <v>377</v>
      </c>
      <c r="F115" t="s">
        <v>18</v>
      </c>
      <c r="G115" t="s">
        <v>76</v>
      </c>
      <c r="H115" t="s">
        <v>77</v>
      </c>
      <c r="I115" t="s">
        <v>378</v>
      </c>
      <c r="J115" t="s">
        <v>22</v>
      </c>
      <c r="K115" t="s">
        <v>79</v>
      </c>
      <c r="Q115" t="s">
        <v>41</v>
      </c>
    </row>
    <row r="116" spans="1:18" x14ac:dyDescent="0.25">
      <c r="A116" t="s">
        <v>375</v>
      </c>
      <c r="B116" t="s">
        <v>376</v>
      </c>
      <c r="C116" t="s">
        <v>16</v>
      </c>
      <c r="D116" t="s">
        <v>376</v>
      </c>
      <c r="E116" t="s">
        <v>377</v>
      </c>
      <c r="F116" t="s">
        <v>18</v>
      </c>
      <c r="G116" t="s">
        <v>159</v>
      </c>
      <c r="H116" t="s">
        <v>160</v>
      </c>
      <c r="I116" t="s">
        <v>379</v>
      </c>
      <c r="J116" t="s">
        <v>22</v>
      </c>
      <c r="K116" t="s">
        <v>162</v>
      </c>
      <c r="Q116" t="s">
        <v>41</v>
      </c>
    </row>
    <row r="117" spans="1:18" x14ac:dyDescent="0.25">
      <c r="A117" t="s">
        <v>375</v>
      </c>
      <c r="B117" t="s">
        <v>376</v>
      </c>
      <c r="C117" t="s">
        <v>16</v>
      </c>
      <c r="D117" t="s">
        <v>376</v>
      </c>
      <c r="E117" t="s">
        <v>377</v>
      </c>
      <c r="F117" t="s">
        <v>18</v>
      </c>
      <c r="G117" t="s">
        <v>163</v>
      </c>
      <c r="H117" t="s">
        <v>164</v>
      </c>
      <c r="I117" t="s">
        <v>380</v>
      </c>
      <c r="J117" t="s">
        <v>22</v>
      </c>
      <c r="K117">
        <v>56443</v>
      </c>
      <c r="M117" t="s">
        <v>166</v>
      </c>
    </row>
    <row r="118" spans="1:18" x14ac:dyDescent="0.25">
      <c r="A118" t="s">
        <v>375</v>
      </c>
      <c r="B118" t="s">
        <v>376</v>
      </c>
      <c r="C118" t="s">
        <v>16</v>
      </c>
      <c r="D118" t="s">
        <v>376</v>
      </c>
      <c r="E118" t="s">
        <v>377</v>
      </c>
      <c r="F118" t="s">
        <v>18</v>
      </c>
      <c r="G118" t="s">
        <v>1390</v>
      </c>
      <c r="H118" t="s">
        <v>90</v>
      </c>
      <c r="I118" t="s">
        <v>70</v>
      </c>
      <c r="J118" t="s">
        <v>22</v>
      </c>
      <c r="K118">
        <v>6579</v>
      </c>
      <c r="M118">
        <v>221118</v>
      </c>
    </row>
    <row r="119" spans="1:18" x14ac:dyDescent="0.25">
      <c r="A119" t="s">
        <v>375</v>
      </c>
      <c r="B119" t="s">
        <v>376</v>
      </c>
      <c r="C119" t="s">
        <v>16</v>
      </c>
      <c r="D119" t="s">
        <v>376</v>
      </c>
      <c r="E119" t="s">
        <v>377</v>
      </c>
      <c r="F119" t="s">
        <v>18</v>
      </c>
      <c r="G119" t="s">
        <v>1391</v>
      </c>
      <c r="H119" t="s">
        <v>381</v>
      </c>
      <c r="I119" t="s">
        <v>382</v>
      </c>
      <c r="J119" t="s">
        <v>22</v>
      </c>
      <c r="K119">
        <v>34322</v>
      </c>
      <c r="M119">
        <v>55019</v>
      </c>
    </row>
    <row r="120" spans="1:18" x14ac:dyDescent="0.25">
      <c r="A120" t="s">
        <v>375</v>
      </c>
      <c r="B120" t="s">
        <v>376</v>
      </c>
      <c r="C120" t="s">
        <v>16</v>
      </c>
      <c r="D120" t="s">
        <v>376</v>
      </c>
      <c r="E120" t="s">
        <v>377</v>
      </c>
      <c r="F120" t="s">
        <v>18</v>
      </c>
      <c r="G120" t="s">
        <v>169</v>
      </c>
      <c r="H120" t="s">
        <v>170</v>
      </c>
      <c r="I120" t="s">
        <v>265</v>
      </c>
      <c r="J120" t="s">
        <v>22</v>
      </c>
      <c r="K120">
        <v>4850</v>
      </c>
      <c r="M120" t="s">
        <v>172</v>
      </c>
    </row>
    <row r="121" spans="1:18" x14ac:dyDescent="0.25">
      <c r="A121" t="s">
        <v>383</v>
      </c>
      <c r="B121" t="s">
        <v>384</v>
      </c>
      <c r="C121" t="s">
        <v>16</v>
      </c>
      <c r="D121" t="s">
        <v>384</v>
      </c>
      <c r="E121" t="s">
        <v>385</v>
      </c>
      <c r="F121" t="s">
        <v>18</v>
      </c>
      <c r="G121" t="s">
        <v>386</v>
      </c>
      <c r="H121" t="s">
        <v>387</v>
      </c>
      <c r="I121" t="s">
        <v>388</v>
      </c>
      <c r="J121" t="s">
        <v>22</v>
      </c>
      <c r="K121">
        <v>7715</v>
      </c>
      <c r="L121">
        <v>814872</v>
      </c>
      <c r="M121" t="s">
        <v>389</v>
      </c>
      <c r="Q121" t="s">
        <v>84</v>
      </c>
    </row>
    <row r="122" spans="1:18" x14ac:dyDescent="0.25">
      <c r="A122" t="s">
        <v>383</v>
      </c>
      <c r="B122" t="s">
        <v>384</v>
      </c>
      <c r="C122" t="s">
        <v>16</v>
      </c>
      <c r="D122" t="s">
        <v>384</v>
      </c>
      <c r="E122" t="s">
        <v>385</v>
      </c>
      <c r="F122" t="s">
        <v>18</v>
      </c>
      <c r="G122" t="s">
        <v>1392</v>
      </c>
      <c r="H122" t="s">
        <v>391</v>
      </c>
      <c r="I122" t="s">
        <v>392</v>
      </c>
      <c r="J122" t="s">
        <v>22</v>
      </c>
      <c r="K122" t="s">
        <v>393</v>
      </c>
      <c r="L122">
        <v>814872</v>
      </c>
      <c r="Q122" t="s">
        <v>41</v>
      </c>
    </row>
    <row r="123" spans="1:18" x14ac:dyDescent="0.25">
      <c r="A123" t="s">
        <v>394</v>
      </c>
      <c r="B123" t="s">
        <v>395</v>
      </c>
      <c r="C123" t="s">
        <v>16</v>
      </c>
      <c r="D123" t="s">
        <v>395</v>
      </c>
      <c r="E123" t="s">
        <v>396</v>
      </c>
      <c r="F123" t="s">
        <v>18</v>
      </c>
      <c r="G123" t="s">
        <v>397</v>
      </c>
      <c r="H123" t="s">
        <v>398</v>
      </c>
      <c r="J123" t="s">
        <v>22</v>
      </c>
      <c r="K123" t="s">
        <v>399</v>
      </c>
      <c r="L123">
        <v>107013</v>
      </c>
      <c r="M123">
        <v>7300</v>
      </c>
      <c r="R123" t="str">
        <f>"https://rxnav.nlm.nih.gov/REST/brands?ingredientids="&amp;K123</f>
        <v>https://rxnav.nlm.nih.gov/REST/brands?ingredientids=7299</v>
      </c>
    </row>
    <row r="124" spans="1:18" x14ac:dyDescent="0.25">
      <c r="A124" t="s">
        <v>394</v>
      </c>
      <c r="B124" t="s">
        <v>395</v>
      </c>
      <c r="C124" t="s">
        <v>16</v>
      </c>
      <c r="D124" t="s">
        <v>395</v>
      </c>
      <c r="E124" t="s">
        <v>396</v>
      </c>
      <c r="F124" t="s">
        <v>18</v>
      </c>
      <c r="G124" t="s">
        <v>400</v>
      </c>
      <c r="H124" t="s">
        <v>401</v>
      </c>
      <c r="I124" t="s">
        <v>194</v>
      </c>
      <c r="J124" t="s">
        <v>22</v>
      </c>
      <c r="K124">
        <v>10759</v>
      </c>
      <c r="L124">
        <v>107013</v>
      </c>
      <c r="M124" t="s">
        <v>402</v>
      </c>
      <c r="Q124" t="s">
        <v>84</v>
      </c>
      <c r="R124" t="str">
        <f>R123&amp;"+"&amp;K124</f>
        <v>https://rxnav.nlm.nih.gov/REST/brands?ingredientids=7299+10759</v>
      </c>
    </row>
    <row r="125" spans="1:18" x14ac:dyDescent="0.25">
      <c r="A125" t="s">
        <v>403</v>
      </c>
      <c r="B125" t="s">
        <v>404</v>
      </c>
      <c r="C125" t="s">
        <v>16</v>
      </c>
      <c r="D125" t="s">
        <v>404</v>
      </c>
      <c r="E125" t="s">
        <v>405</v>
      </c>
      <c r="F125" t="s">
        <v>18</v>
      </c>
      <c r="G125" t="s">
        <v>406</v>
      </c>
      <c r="H125" t="s">
        <v>407</v>
      </c>
      <c r="I125" t="s">
        <v>408</v>
      </c>
      <c r="J125" t="s">
        <v>22</v>
      </c>
      <c r="K125">
        <v>8896</v>
      </c>
      <c r="L125">
        <v>352367</v>
      </c>
      <c r="M125" t="s">
        <v>409</v>
      </c>
      <c r="R125" t="str">
        <f>"https://rxnav.nlm.nih.gov/REST/brands?ingredientids="&amp;K125</f>
        <v>https://rxnav.nlm.nih.gov/REST/brands?ingredientids=8896</v>
      </c>
    </row>
    <row r="126" spans="1:18" x14ac:dyDescent="0.25">
      <c r="A126" t="s">
        <v>403</v>
      </c>
      <c r="B126" t="s">
        <v>404</v>
      </c>
      <c r="C126" t="s">
        <v>16</v>
      </c>
      <c r="D126" t="s">
        <v>404</v>
      </c>
      <c r="E126" t="s">
        <v>405</v>
      </c>
      <c r="F126" t="s">
        <v>18</v>
      </c>
      <c r="G126" t="s">
        <v>1393</v>
      </c>
      <c r="H126" t="s">
        <v>410</v>
      </c>
      <c r="I126" t="s">
        <v>221</v>
      </c>
      <c r="J126" t="s">
        <v>22</v>
      </c>
      <c r="K126" t="s">
        <v>411</v>
      </c>
      <c r="L126">
        <v>352367</v>
      </c>
      <c r="M126">
        <v>203150</v>
      </c>
      <c r="Q126" t="s">
        <v>41</v>
      </c>
      <c r="R126" t="str">
        <f>R125&amp;"+"&amp;K126</f>
        <v>https://rxnav.nlm.nih.gov/REST/brands?ingredientids=8896+20610</v>
      </c>
    </row>
    <row r="127" spans="1:18" x14ac:dyDescent="0.25">
      <c r="A127" t="s">
        <v>412</v>
      </c>
      <c r="B127" t="s">
        <v>413</v>
      </c>
      <c r="C127" t="s">
        <v>16</v>
      </c>
      <c r="D127" t="s">
        <v>413</v>
      </c>
      <c r="E127" t="s">
        <v>414</v>
      </c>
      <c r="F127" t="s">
        <v>18</v>
      </c>
      <c r="G127" t="s">
        <v>1394</v>
      </c>
      <c r="H127" t="s">
        <v>415</v>
      </c>
      <c r="I127" t="s">
        <v>21</v>
      </c>
      <c r="J127" t="s">
        <v>22</v>
      </c>
    </row>
    <row r="128" spans="1:18" x14ac:dyDescent="0.25">
      <c r="A128" t="s">
        <v>412</v>
      </c>
      <c r="B128" t="s">
        <v>413</v>
      </c>
      <c r="C128" t="s">
        <v>16</v>
      </c>
      <c r="D128" t="s">
        <v>413</v>
      </c>
      <c r="E128" t="s">
        <v>414</v>
      </c>
      <c r="F128" t="s">
        <v>18</v>
      </c>
      <c r="G128" t="s">
        <v>416</v>
      </c>
      <c r="H128" t="s">
        <v>417</v>
      </c>
      <c r="I128" t="s">
        <v>127</v>
      </c>
      <c r="J128" t="s">
        <v>22</v>
      </c>
      <c r="K128">
        <v>3339</v>
      </c>
      <c r="M128" t="s">
        <v>418</v>
      </c>
    </row>
    <row r="129" spans="1:18" x14ac:dyDescent="0.25">
      <c r="A129" t="s">
        <v>419</v>
      </c>
      <c r="B129" t="s">
        <v>420</v>
      </c>
      <c r="C129" t="s">
        <v>16</v>
      </c>
      <c r="D129" t="s">
        <v>420</v>
      </c>
      <c r="E129" t="s">
        <v>421</v>
      </c>
      <c r="F129" t="s">
        <v>18</v>
      </c>
      <c r="G129" t="s">
        <v>422</v>
      </c>
      <c r="H129" t="s">
        <v>423</v>
      </c>
      <c r="I129" t="s">
        <v>424</v>
      </c>
      <c r="J129" t="s">
        <v>22</v>
      </c>
      <c r="K129">
        <v>235496</v>
      </c>
      <c r="M129" t="s">
        <v>425</v>
      </c>
      <c r="R129" t="str">
        <f>"https://rxnav.nlm.nih.gov/REST/brands?ingredientids="&amp;K129</f>
        <v>https://rxnav.nlm.nih.gov/REST/brands?ingredientids=235496</v>
      </c>
    </row>
    <row r="130" spans="1:18" x14ac:dyDescent="0.25">
      <c r="A130" t="s">
        <v>419</v>
      </c>
      <c r="B130" t="s">
        <v>420</v>
      </c>
      <c r="C130" t="s">
        <v>16</v>
      </c>
      <c r="D130" t="s">
        <v>420</v>
      </c>
      <c r="E130" t="s">
        <v>421</v>
      </c>
      <c r="F130" t="s">
        <v>18</v>
      </c>
      <c r="G130" t="s">
        <v>1395</v>
      </c>
      <c r="H130" t="s">
        <v>426</v>
      </c>
      <c r="I130" t="s">
        <v>427</v>
      </c>
      <c r="J130" t="s">
        <v>22</v>
      </c>
      <c r="K130">
        <v>236719</v>
      </c>
      <c r="M130">
        <v>314838</v>
      </c>
      <c r="R130" t="str">
        <f>R129&amp;"+"&amp;K130</f>
        <v>https://rxnav.nlm.nih.gov/REST/brands?ingredientids=235496+236719</v>
      </c>
    </row>
    <row r="131" spans="1:18" x14ac:dyDescent="0.25">
      <c r="A131" t="s">
        <v>428</v>
      </c>
      <c r="B131" t="s">
        <v>429</v>
      </c>
      <c r="C131" t="s">
        <v>16</v>
      </c>
      <c r="D131" t="s">
        <v>429</v>
      </c>
      <c r="E131" t="s">
        <v>430</v>
      </c>
      <c r="F131" t="s">
        <v>18</v>
      </c>
      <c r="G131" t="s">
        <v>1396</v>
      </c>
      <c r="H131" t="s">
        <v>431</v>
      </c>
      <c r="I131" t="s">
        <v>432</v>
      </c>
      <c r="J131" t="s">
        <v>39</v>
      </c>
      <c r="K131">
        <v>36117</v>
      </c>
      <c r="L131">
        <v>284635</v>
      </c>
      <c r="M131">
        <v>72616</v>
      </c>
    </row>
    <row r="132" spans="1:18" x14ac:dyDescent="0.25">
      <c r="A132" t="s">
        <v>428</v>
      </c>
      <c r="B132" t="s">
        <v>429</v>
      </c>
      <c r="C132" t="s">
        <v>16</v>
      </c>
      <c r="D132" t="s">
        <v>429</v>
      </c>
      <c r="E132" t="s">
        <v>430</v>
      </c>
      <c r="F132" t="s">
        <v>18</v>
      </c>
      <c r="G132" t="s">
        <v>433</v>
      </c>
      <c r="H132" t="s">
        <v>434</v>
      </c>
      <c r="I132" t="s">
        <v>435</v>
      </c>
      <c r="J132" t="s">
        <v>39</v>
      </c>
      <c r="K132">
        <v>41126</v>
      </c>
      <c r="L132">
        <v>284635</v>
      </c>
      <c r="M132">
        <v>50121</v>
      </c>
    </row>
    <row r="133" spans="1:18" x14ac:dyDescent="0.25">
      <c r="A133" t="s">
        <v>436</v>
      </c>
      <c r="B133" t="s">
        <v>437</v>
      </c>
      <c r="C133" t="s">
        <v>16</v>
      </c>
      <c r="D133" t="s">
        <v>437</v>
      </c>
      <c r="E133" t="s">
        <v>438</v>
      </c>
      <c r="F133" t="s">
        <v>18</v>
      </c>
      <c r="G133" t="s">
        <v>1397</v>
      </c>
      <c r="H133" t="s">
        <v>439</v>
      </c>
      <c r="J133" t="s">
        <v>22</v>
      </c>
      <c r="K133">
        <v>733</v>
      </c>
      <c r="L133">
        <v>1008820</v>
      </c>
      <c r="M133" t="s">
        <v>440</v>
      </c>
    </row>
    <row r="134" spans="1:18" x14ac:dyDescent="0.25">
      <c r="A134" t="s">
        <v>436</v>
      </c>
      <c r="B134" t="s">
        <v>437</v>
      </c>
      <c r="C134" t="s">
        <v>16</v>
      </c>
      <c r="D134" t="s">
        <v>437</v>
      </c>
      <c r="E134" t="s">
        <v>438</v>
      </c>
      <c r="F134" t="s">
        <v>18</v>
      </c>
      <c r="G134" t="s">
        <v>1398</v>
      </c>
      <c r="H134" t="s">
        <v>441</v>
      </c>
      <c r="J134" t="s">
        <v>22</v>
      </c>
      <c r="K134">
        <v>3356</v>
      </c>
      <c r="L134">
        <v>1008820</v>
      </c>
      <c r="M134">
        <v>267257</v>
      </c>
    </row>
    <row r="135" spans="1:18" x14ac:dyDescent="0.25">
      <c r="A135" t="s">
        <v>442</v>
      </c>
      <c r="B135" t="s">
        <v>443</v>
      </c>
      <c r="C135" t="s">
        <v>16</v>
      </c>
      <c r="D135" t="s">
        <v>443</v>
      </c>
      <c r="E135" t="s">
        <v>444</v>
      </c>
      <c r="F135" t="s">
        <v>18</v>
      </c>
      <c r="G135" t="s">
        <v>445</v>
      </c>
      <c r="H135" t="s">
        <v>446</v>
      </c>
      <c r="I135" t="s">
        <v>316</v>
      </c>
      <c r="J135" t="s">
        <v>22</v>
      </c>
      <c r="K135">
        <v>22696</v>
      </c>
      <c r="L135">
        <v>400674</v>
      </c>
      <c r="M135" t="s">
        <v>447</v>
      </c>
      <c r="Q135" t="s">
        <v>84</v>
      </c>
      <c r="R135" t="str">
        <f>"https://rxnav.nlm.nih.gov/REST/brands?ingredientids="&amp;K135</f>
        <v>https://rxnav.nlm.nih.gov/REST/brands?ingredientids=22696</v>
      </c>
    </row>
    <row r="136" spans="1:18" x14ac:dyDescent="0.25">
      <c r="A136" t="s">
        <v>442</v>
      </c>
      <c r="B136" t="s">
        <v>443</v>
      </c>
      <c r="C136" t="s">
        <v>16</v>
      </c>
      <c r="D136" t="s">
        <v>443</v>
      </c>
      <c r="E136" t="s">
        <v>444</v>
      </c>
      <c r="F136" t="s">
        <v>18</v>
      </c>
      <c r="G136" t="s">
        <v>406</v>
      </c>
      <c r="H136" t="s">
        <v>407</v>
      </c>
      <c r="I136" t="s">
        <v>252</v>
      </c>
      <c r="J136" t="s">
        <v>22</v>
      </c>
      <c r="K136">
        <v>8896</v>
      </c>
      <c r="L136">
        <v>400674</v>
      </c>
      <c r="M136" t="s">
        <v>409</v>
      </c>
      <c r="R136" t="str">
        <f>R135&amp;"+"&amp;K136</f>
        <v>https://rxnav.nlm.nih.gov/REST/brands?ingredientids=22696+8896</v>
      </c>
    </row>
    <row r="137" spans="1:18" x14ac:dyDescent="0.25">
      <c r="A137" t="s">
        <v>448</v>
      </c>
      <c r="B137" t="s">
        <v>449</v>
      </c>
      <c r="C137" t="s">
        <v>16</v>
      </c>
      <c r="D137" t="s">
        <v>449</v>
      </c>
      <c r="E137" t="s">
        <v>450</v>
      </c>
      <c r="F137" t="s">
        <v>18</v>
      </c>
      <c r="G137" t="s">
        <v>451</v>
      </c>
      <c r="H137" t="s">
        <v>452</v>
      </c>
      <c r="I137" t="s">
        <v>358</v>
      </c>
      <c r="J137" t="s">
        <v>52</v>
      </c>
      <c r="K137">
        <v>723</v>
      </c>
      <c r="L137">
        <v>19711</v>
      </c>
      <c r="M137" t="s">
        <v>453</v>
      </c>
      <c r="N137">
        <v>331055</v>
      </c>
      <c r="R137" t="str">
        <f>"https://rxnav.nlm.nih.gov/REST/brands?ingredientids="&amp;K137</f>
        <v>https://rxnav.nlm.nih.gov/REST/brands?ingredientids=723</v>
      </c>
    </row>
    <row r="138" spans="1:18" x14ac:dyDescent="0.25">
      <c r="A138" t="s">
        <v>448</v>
      </c>
      <c r="B138" t="s">
        <v>449</v>
      </c>
      <c r="C138" t="s">
        <v>16</v>
      </c>
      <c r="D138" t="s">
        <v>449</v>
      </c>
      <c r="E138" t="s">
        <v>450</v>
      </c>
      <c r="F138" t="s">
        <v>18</v>
      </c>
      <c r="G138" t="s">
        <v>454</v>
      </c>
      <c r="H138" t="s">
        <v>455</v>
      </c>
      <c r="I138" t="s">
        <v>197</v>
      </c>
      <c r="J138" t="s">
        <v>52</v>
      </c>
      <c r="K138">
        <v>48203</v>
      </c>
      <c r="L138">
        <v>19711</v>
      </c>
      <c r="M138">
        <v>831418</v>
      </c>
      <c r="R138" t="str">
        <f>R137&amp;"+"&amp;K138</f>
        <v>https://rxnav.nlm.nih.gov/REST/brands?ingredientids=723+48203</v>
      </c>
    </row>
    <row r="139" spans="1:18" x14ac:dyDescent="0.25">
      <c r="A139" t="s">
        <v>448</v>
      </c>
      <c r="B139" t="s">
        <v>449</v>
      </c>
      <c r="C139" t="s">
        <v>16</v>
      </c>
      <c r="D139" t="s">
        <v>449</v>
      </c>
      <c r="E139" t="s">
        <v>450</v>
      </c>
      <c r="F139" t="s">
        <v>18</v>
      </c>
      <c r="G139" t="s">
        <v>451</v>
      </c>
      <c r="H139" t="s">
        <v>452</v>
      </c>
      <c r="I139" t="s">
        <v>194</v>
      </c>
      <c r="J139" t="s">
        <v>52</v>
      </c>
      <c r="K139">
        <v>723</v>
      </c>
      <c r="L139">
        <v>19711</v>
      </c>
      <c r="M139" t="s">
        <v>453</v>
      </c>
      <c r="N139">
        <v>331055</v>
      </c>
    </row>
    <row r="140" spans="1:18" x14ac:dyDescent="0.25">
      <c r="A140" t="s">
        <v>448</v>
      </c>
      <c r="B140" t="s">
        <v>449</v>
      </c>
      <c r="C140" t="s">
        <v>16</v>
      </c>
      <c r="D140" t="s">
        <v>449</v>
      </c>
      <c r="E140" t="s">
        <v>450</v>
      </c>
      <c r="F140" t="s">
        <v>18</v>
      </c>
      <c r="G140" t="s">
        <v>454</v>
      </c>
      <c r="H140" t="s">
        <v>455</v>
      </c>
      <c r="I140" t="s">
        <v>144</v>
      </c>
      <c r="J140" t="s">
        <v>52</v>
      </c>
      <c r="K140">
        <v>48203</v>
      </c>
      <c r="L140">
        <v>19711</v>
      </c>
      <c r="M140">
        <v>831418</v>
      </c>
    </row>
    <row r="141" spans="1:18" x14ac:dyDescent="0.25">
      <c r="A141" t="s">
        <v>456</v>
      </c>
      <c r="B141" t="s">
        <v>457</v>
      </c>
      <c r="C141" t="s">
        <v>16</v>
      </c>
      <c r="D141" t="s">
        <v>457</v>
      </c>
      <c r="E141" t="s">
        <v>458</v>
      </c>
      <c r="F141" t="s">
        <v>18</v>
      </c>
      <c r="G141" t="s">
        <v>459</v>
      </c>
      <c r="H141" t="s">
        <v>460</v>
      </c>
      <c r="I141" t="s">
        <v>461</v>
      </c>
      <c r="J141" t="s">
        <v>22</v>
      </c>
      <c r="K141" t="s">
        <v>462</v>
      </c>
      <c r="L141">
        <v>10831</v>
      </c>
      <c r="Q141" t="s">
        <v>41</v>
      </c>
    </row>
    <row r="142" spans="1:18" x14ac:dyDescent="0.25">
      <c r="A142" t="s">
        <v>456</v>
      </c>
      <c r="B142" t="s">
        <v>457</v>
      </c>
      <c r="C142" t="s">
        <v>16</v>
      </c>
      <c r="D142" t="s">
        <v>457</v>
      </c>
      <c r="E142" t="s">
        <v>458</v>
      </c>
      <c r="F142" t="s">
        <v>18</v>
      </c>
      <c r="G142" t="s">
        <v>463</v>
      </c>
      <c r="H142" t="s">
        <v>464</v>
      </c>
      <c r="I142" t="s">
        <v>465</v>
      </c>
      <c r="J142" t="s">
        <v>22</v>
      </c>
      <c r="K142" t="s">
        <v>466</v>
      </c>
      <c r="L142">
        <v>10831</v>
      </c>
      <c r="Q142" t="s">
        <v>84</v>
      </c>
    </row>
    <row r="143" spans="1:18" x14ac:dyDescent="0.25">
      <c r="A143" t="s">
        <v>467</v>
      </c>
      <c r="B143" t="s">
        <v>468</v>
      </c>
      <c r="C143" t="s">
        <v>16</v>
      </c>
      <c r="D143" t="s">
        <v>468</v>
      </c>
      <c r="E143" t="s">
        <v>469</v>
      </c>
      <c r="F143" t="s">
        <v>18</v>
      </c>
      <c r="G143" t="s">
        <v>470</v>
      </c>
      <c r="H143" t="s">
        <v>471</v>
      </c>
      <c r="I143" t="s">
        <v>194</v>
      </c>
      <c r="J143" t="s">
        <v>22</v>
      </c>
      <c r="K143">
        <v>4083</v>
      </c>
      <c r="L143">
        <v>636632</v>
      </c>
      <c r="M143" t="s">
        <v>472</v>
      </c>
      <c r="Q143" t="s">
        <v>84</v>
      </c>
      <c r="R143" t="str">
        <f>"https://rxnav.nlm.nih.gov/REST/brands?ingredientids="&amp;K143</f>
        <v>https://rxnav.nlm.nih.gov/REST/brands?ingredientids=4083</v>
      </c>
    </row>
    <row r="144" spans="1:18" x14ac:dyDescent="0.25">
      <c r="A144" t="s">
        <v>467</v>
      </c>
      <c r="B144" t="s">
        <v>468</v>
      </c>
      <c r="C144" t="s">
        <v>16</v>
      </c>
      <c r="D144" t="s">
        <v>468</v>
      </c>
      <c r="E144" t="s">
        <v>469</v>
      </c>
      <c r="F144" t="s">
        <v>18</v>
      </c>
      <c r="G144" t="s">
        <v>473</v>
      </c>
      <c r="H144" t="s">
        <v>474</v>
      </c>
      <c r="I144" t="s">
        <v>127</v>
      </c>
      <c r="J144" t="s">
        <v>22</v>
      </c>
      <c r="K144">
        <v>6691</v>
      </c>
      <c r="L144">
        <v>636632</v>
      </c>
      <c r="M144" t="s">
        <v>475</v>
      </c>
      <c r="Q144" t="s">
        <v>84</v>
      </c>
      <c r="R144" t="str">
        <f>R143&amp;"+"&amp;K144</f>
        <v>https://rxnav.nlm.nih.gov/REST/brands?ingredientids=4083+6691</v>
      </c>
    </row>
    <row r="145" spans="1:18" x14ac:dyDescent="0.25">
      <c r="A145" t="s">
        <v>476</v>
      </c>
      <c r="B145" t="s">
        <v>477</v>
      </c>
      <c r="C145" t="s">
        <v>16</v>
      </c>
      <c r="D145" t="s">
        <v>477</v>
      </c>
      <c r="E145" t="s">
        <v>478</v>
      </c>
      <c r="F145" t="s">
        <v>18</v>
      </c>
      <c r="G145" t="s">
        <v>479</v>
      </c>
      <c r="H145" t="s">
        <v>480</v>
      </c>
      <c r="I145" t="s">
        <v>265</v>
      </c>
      <c r="J145" t="s">
        <v>22</v>
      </c>
      <c r="K145" t="s">
        <v>481</v>
      </c>
      <c r="L145">
        <v>619749</v>
      </c>
      <c r="Q145" t="s">
        <v>84</v>
      </c>
      <c r="R145" t="str">
        <f>"https://rxnav.nlm.nih.gov/REST/brands?ingredientids="&amp;K145</f>
        <v>https://rxnav.nlm.nih.gov/REST/brands?ingredientids=6375</v>
      </c>
    </row>
    <row r="146" spans="1:18" x14ac:dyDescent="0.25">
      <c r="A146" t="s">
        <v>476</v>
      </c>
      <c r="B146" t="s">
        <v>477</v>
      </c>
      <c r="C146" t="s">
        <v>16</v>
      </c>
      <c r="D146" t="s">
        <v>477</v>
      </c>
      <c r="E146" t="s">
        <v>478</v>
      </c>
      <c r="F146" t="s">
        <v>18</v>
      </c>
      <c r="G146" t="s">
        <v>482</v>
      </c>
      <c r="H146" t="s">
        <v>483</v>
      </c>
      <c r="I146" t="s">
        <v>484</v>
      </c>
      <c r="J146" t="s">
        <v>22</v>
      </c>
      <c r="K146" t="s">
        <v>485</v>
      </c>
      <c r="L146">
        <v>619749</v>
      </c>
      <c r="M146">
        <v>235765</v>
      </c>
      <c r="R146" t="str">
        <f>R145&amp;"+"&amp;K146</f>
        <v>https://rxnav.nlm.nih.gov/REST/brands?ingredientids=6375+1374</v>
      </c>
    </row>
    <row r="147" spans="1:18" x14ac:dyDescent="0.25">
      <c r="A147" t="s">
        <v>486</v>
      </c>
      <c r="B147" t="s">
        <v>487</v>
      </c>
      <c r="C147" t="s">
        <v>488</v>
      </c>
      <c r="D147" t="s">
        <v>487</v>
      </c>
      <c r="E147" t="s">
        <v>488</v>
      </c>
      <c r="F147" t="s">
        <v>18</v>
      </c>
      <c r="G147" t="s">
        <v>489</v>
      </c>
      <c r="H147" t="s">
        <v>490</v>
      </c>
      <c r="I147" t="s">
        <v>491</v>
      </c>
      <c r="J147" t="s">
        <v>52</v>
      </c>
      <c r="K147">
        <v>8339</v>
      </c>
      <c r="L147">
        <v>74169</v>
      </c>
      <c r="M147" t="s">
        <v>492</v>
      </c>
      <c r="N147">
        <v>1659128</v>
      </c>
      <c r="P147">
        <v>1659131</v>
      </c>
    </row>
    <row r="148" spans="1:18" x14ac:dyDescent="0.25">
      <c r="A148" t="s">
        <v>486</v>
      </c>
      <c r="B148" t="s">
        <v>487</v>
      </c>
      <c r="C148" t="s">
        <v>488</v>
      </c>
      <c r="D148" t="s">
        <v>487</v>
      </c>
      <c r="E148" t="s">
        <v>488</v>
      </c>
      <c r="F148" t="s">
        <v>18</v>
      </c>
      <c r="G148" t="s">
        <v>493</v>
      </c>
      <c r="H148" t="s">
        <v>494</v>
      </c>
      <c r="I148" t="s">
        <v>495</v>
      </c>
      <c r="J148" t="s">
        <v>52</v>
      </c>
      <c r="K148">
        <v>37617</v>
      </c>
      <c r="L148">
        <v>74169</v>
      </c>
      <c r="M148" t="s">
        <v>496</v>
      </c>
      <c r="N148">
        <v>1659129</v>
      </c>
      <c r="P148">
        <v>1659131</v>
      </c>
    </row>
    <row r="149" spans="1:18" x14ac:dyDescent="0.25">
      <c r="A149" t="s">
        <v>486</v>
      </c>
      <c r="B149" t="s">
        <v>487</v>
      </c>
      <c r="C149" t="s">
        <v>488</v>
      </c>
      <c r="D149" t="s">
        <v>487</v>
      </c>
      <c r="E149" t="s">
        <v>488</v>
      </c>
      <c r="F149" t="s">
        <v>18</v>
      </c>
      <c r="G149" t="s">
        <v>489</v>
      </c>
      <c r="H149" t="s">
        <v>490</v>
      </c>
      <c r="I149" t="s">
        <v>316</v>
      </c>
      <c r="J149" t="s">
        <v>52</v>
      </c>
      <c r="K149">
        <v>8339</v>
      </c>
      <c r="L149">
        <v>74169</v>
      </c>
      <c r="M149" t="s">
        <v>492</v>
      </c>
      <c r="N149">
        <v>1659148</v>
      </c>
      <c r="P149">
        <v>1659149</v>
      </c>
    </row>
    <row r="150" spans="1:18" x14ac:dyDescent="0.25">
      <c r="A150" t="s">
        <v>486</v>
      </c>
      <c r="B150" t="s">
        <v>487</v>
      </c>
      <c r="C150" t="s">
        <v>488</v>
      </c>
      <c r="D150" t="s">
        <v>487</v>
      </c>
      <c r="E150" t="s">
        <v>488</v>
      </c>
      <c r="F150" t="s">
        <v>18</v>
      </c>
      <c r="G150" t="s">
        <v>493</v>
      </c>
      <c r="H150" t="s">
        <v>494</v>
      </c>
      <c r="I150" t="s">
        <v>358</v>
      </c>
      <c r="J150" t="s">
        <v>52</v>
      </c>
      <c r="K150">
        <v>37617</v>
      </c>
      <c r="L150">
        <v>74169</v>
      </c>
      <c r="M150" t="s">
        <v>496</v>
      </c>
      <c r="N150">
        <v>1656793</v>
      </c>
      <c r="P150">
        <v>1659149</v>
      </c>
    </row>
    <row r="151" spans="1:18" x14ac:dyDescent="0.25">
      <c r="A151" t="s">
        <v>497</v>
      </c>
      <c r="B151" t="s">
        <v>498</v>
      </c>
      <c r="C151" t="s">
        <v>16</v>
      </c>
      <c r="D151" t="s">
        <v>498</v>
      </c>
      <c r="E151" t="s">
        <v>499</v>
      </c>
      <c r="F151" t="s">
        <v>18</v>
      </c>
      <c r="G151" t="s">
        <v>500</v>
      </c>
      <c r="H151" t="s">
        <v>501</v>
      </c>
      <c r="I151" t="s">
        <v>502</v>
      </c>
      <c r="J151" t="s">
        <v>22</v>
      </c>
      <c r="K151">
        <v>7213</v>
      </c>
      <c r="M151" t="s">
        <v>503</v>
      </c>
      <c r="Q151" t="s">
        <v>84</v>
      </c>
      <c r="R151" t="str">
        <f>"https://rxnav.nlm.nih.gov/REST/brands?ingredientids="&amp;K151</f>
        <v>https://rxnav.nlm.nih.gov/REST/brands?ingredientids=7213</v>
      </c>
    </row>
    <row r="152" spans="1:18" x14ac:dyDescent="0.25">
      <c r="A152" t="s">
        <v>497</v>
      </c>
      <c r="B152" t="s">
        <v>498</v>
      </c>
      <c r="C152" t="s">
        <v>16</v>
      </c>
      <c r="D152" t="s">
        <v>498</v>
      </c>
      <c r="E152" t="s">
        <v>499</v>
      </c>
      <c r="F152" t="s">
        <v>18</v>
      </c>
      <c r="G152" t="s">
        <v>504</v>
      </c>
      <c r="H152" t="s">
        <v>505</v>
      </c>
      <c r="I152" t="s">
        <v>506</v>
      </c>
      <c r="J152" t="s">
        <v>22</v>
      </c>
      <c r="K152">
        <v>4333</v>
      </c>
      <c r="M152" t="s">
        <v>507</v>
      </c>
      <c r="R152" t="str">
        <f>R151&amp;"+"&amp;K152</f>
        <v>https://rxnav.nlm.nih.gov/REST/brands?ingredientids=7213+4333</v>
      </c>
    </row>
    <row r="153" spans="1:18" x14ac:dyDescent="0.25">
      <c r="A153" t="s">
        <v>508</v>
      </c>
      <c r="B153" t="s">
        <v>509</v>
      </c>
      <c r="C153" t="s">
        <v>16</v>
      </c>
      <c r="D153" t="s">
        <v>509</v>
      </c>
      <c r="E153" t="s">
        <v>510</v>
      </c>
      <c r="F153" t="s">
        <v>18</v>
      </c>
      <c r="G153" t="s">
        <v>76</v>
      </c>
      <c r="H153" t="s">
        <v>77</v>
      </c>
      <c r="I153" t="s">
        <v>191</v>
      </c>
      <c r="J153" t="s">
        <v>52</v>
      </c>
      <c r="K153" t="s">
        <v>79</v>
      </c>
      <c r="Q153" t="s">
        <v>41</v>
      </c>
    </row>
    <row r="154" spans="1:18" x14ac:dyDescent="0.25">
      <c r="A154" t="s">
        <v>508</v>
      </c>
      <c r="B154" t="s">
        <v>509</v>
      </c>
      <c r="C154" t="s">
        <v>16</v>
      </c>
      <c r="D154" t="s">
        <v>509</v>
      </c>
      <c r="E154" t="s">
        <v>510</v>
      </c>
      <c r="F154" t="s">
        <v>18</v>
      </c>
      <c r="G154" t="s">
        <v>511</v>
      </c>
      <c r="H154" t="s">
        <v>512</v>
      </c>
      <c r="I154" t="s">
        <v>234</v>
      </c>
      <c r="J154" t="s">
        <v>22</v>
      </c>
    </row>
    <row r="155" spans="1:18" x14ac:dyDescent="0.25">
      <c r="A155" t="s">
        <v>513</v>
      </c>
      <c r="B155" t="s">
        <v>514</v>
      </c>
      <c r="C155" t="s">
        <v>16</v>
      </c>
      <c r="D155" t="s">
        <v>514</v>
      </c>
      <c r="E155" t="s">
        <v>515</v>
      </c>
      <c r="F155" t="s">
        <v>18</v>
      </c>
      <c r="G155" t="s">
        <v>516</v>
      </c>
      <c r="H155" t="s">
        <v>517</v>
      </c>
      <c r="I155" t="s">
        <v>518</v>
      </c>
      <c r="J155" t="s">
        <v>22</v>
      </c>
      <c r="K155" t="s">
        <v>519</v>
      </c>
      <c r="L155">
        <v>103990</v>
      </c>
      <c r="Q155" t="s">
        <v>84</v>
      </c>
      <c r="R155" t="str">
        <f>"https://rxnav.nlm.nih.gov/REST/brands?ingredientids="&amp;K155</f>
        <v>https://rxnav.nlm.nih.gov/REST/brands?ingredientids=2019</v>
      </c>
    </row>
    <row r="156" spans="1:18" x14ac:dyDescent="0.25">
      <c r="A156" t="s">
        <v>513</v>
      </c>
      <c r="B156" t="s">
        <v>514</v>
      </c>
      <c r="C156" t="s">
        <v>16</v>
      </c>
      <c r="D156" t="s">
        <v>514</v>
      </c>
      <c r="E156" t="s">
        <v>515</v>
      </c>
      <c r="F156" t="s">
        <v>18</v>
      </c>
      <c r="G156" t="s">
        <v>479</v>
      </c>
      <c r="H156" t="s">
        <v>480</v>
      </c>
      <c r="I156" t="s">
        <v>435</v>
      </c>
      <c r="J156" t="s">
        <v>22</v>
      </c>
      <c r="K156" t="s">
        <v>481</v>
      </c>
      <c r="L156">
        <v>103990</v>
      </c>
      <c r="Q156" t="s">
        <v>84</v>
      </c>
      <c r="R156" t="str">
        <f>R155&amp;"+"&amp;K156</f>
        <v>https://rxnav.nlm.nih.gov/REST/brands?ingredientids=2019+6375</v>
      </c>
    </row>
    <row r="157" spans="1:18" x14ac:dyDescent="0.25">
      <c r="A157" t="s">
        <v>520</v>
      </c>
      <c r="B157" t="s">
        <v>521</v>
      </c>
      <c r="C157" t="s">
        <v>16</v>
      </c>
      <c r="D157" t="s">
        <v>521</v>
      </c>
      <c r="E157" t="s">
        <v>522</v>
      </c>
      <c r="F157" t="s">
        <v>18</v>
      </c>
      <c r="G157" t="s">
        <v>523</v>
      </c>
      <c r="H157" t="s">
        <v>524</v>
      </c>
      <c r="I157" t="s">
        <v>525</v>
      </c>
      <c r="J157" t="s">
        <v>526</v>
      </c>
      <c r="K157" t="s">
        <v>527</v>
      </c>
      <c r="Q157" t="s">
        <v>41</v>
      </c>
      <c r="R157" t="str">
        <f>"https://rxnav.nlm.nih.gov/REST/brands?ingredientids="&amp;K157</f>
        <v>https://rxnav.nlm.nih.gov/REST/brands?ingredientids=1752</v>
      </c>
    </row>
    <row r="158" spans="1:18" x14ac:dyDescent="0.25">
      <c r="A158" t="s">
        <v>520</v>
      </c>
      <c r="B158" t="s">
        <v>521</v>
      </c>
      <c r="C158" t="s">
        <v>16</v>
      </c>
      <c r="D158" t="s">
        <v>521</v>
      </c>
      <c r="E158" t="s">
        <v>522</v>
      </c>
      <c r="F158" t="s">
        <v>18</v>
      </c>
      <c r="G158" t="s">
        <v>528</v>
      </c>
      <c r="H158" t="s">
        <v>529</v>
      </c>
      <c r="I158" t="s">
        <v>171</v>
      </c>
      <c r="J158" t="s">
        <v>22</v>
      </c>
      <c r="K158" t="s">
        <v>530</v>
      </c>
      <c r="R158" t="str">
        <f>R157&amp;"+"&amp;K158</f>
        <v>https://rxnav.nlm.nih.gov/REST/brands?ingredientids=1752+3024</v>
      </c>
    </row>
    <row r="159" spans="1:18" x14ac:dyDescent="0.25">
      <c r="A159" t="s">
        <v>531</v>
      </c>
      <c r="B159" t="s">
        <v>532</v>
      </c>
      <c r="C159" t="s">
        <v>16</v>
      </c>
      <c r="D159" t="s">
        <v>532</v>
      </c>
      <c r="E159" t="s">
        <v>533</v>
      </c>
      <c r="F159" t="s">
        <v>18</v>
      </c>
      <c r="G159" t="s">
        <v>500</v>
      </c>
      <c r="H159" t="s">
        <v>501</v>
      </c>
      <c r="I159" t="s">
        <v>144</v>
      </c>
      <c r="J159" t="s">
        <v>22</v>
      </c>
      <c r="K159">
        <v>7213</v>
      </c>
      <c r="L159">
        <v>214199</v>
      </c>
      <c r="M159" t="s">
        <v>503</v>
      </c>
      <c r="Q159" t="s">
        <v>84</v>
      </c>
      <c r="R159" t="str">
        <f>"https://rxnav.nlm.nih.gov/REST/brands?ingredientids="&amp;K159</f>
        <v>https://rxnav.nlm.nih.gov/REST/brands?ingredientids=7213</v>
      </c>
    </row>
    <row r="160" spans="1:18" x14ac:dyDescent="0.25">
      <c r="A160" t="s">
        <v>531</v>
      </c>
      <c r="B160" t="s">
        <v>532</v>
      </c>
      <c r="C160" t="s">
        <v>16</v>
      </c>
      <c r="D160" t="s">
        <v>532</v>
      </c>
      <c r="E160" t="s">
        <v>533</v>
      </c>
      <c r="F160" t="s">
        <v>18</v>
      </c>
      <c r="G160" t="s">
        <v>534</v>
      </c>
      <c r="H160" t="s">
        <v>535</v>
      </c>
      <c r="I160" t="s">
        <v>194</v>
      </c>
      <c r="J160" t="s">
        <v>22</v>
      </c>
      <c r="K160">
        <v>435</v>
      </c>
      <c r="L160">
        <v>214199</v>
      </c>
      <c r="M160" t="s">
        <v>536</v>
      </c>
      <c r="R160" t="str">
        <f>R159&amp;"+"&amp;K160</f>
        <v>https://rxnav.nlm.nih.gov/REST/brands?ingredientids=7213+435</v>
      </c>
    </row>
    <row r="161" spans="1:18" x14ac:dyDescent="0.25">
      <c r="A161" t="s">
        <v>537</v>
      </c>
      <c r="B161" t="s">
        <v>538</v>
      </c>
      <c r="C161" t="s">
        <v>16</v>
      </c>
      <c r="D161" t="s">
        <v>538</v>
      </c>
      <c r="E161" t="s">
        <v>539</v>
      </c>
      <c r="F161" t="s">
        <v>18</v>
      </c>
      <c r="G161" t="s">
        <v>540</v>
      </c>
      <c r="H161" t="s">
        <v>541</v>
      </c>
      <c r="I161" t="s">
        <v>542</v>
      </c>
      <c r="J161" t="s">
        <v>22</v>
      </c>
      <c r="K161">
        <v>48203</v>
      </c>
      <c r="L161">
        <v>19711</v>
      </c>
      <c r="M161" t="s">
        <v>543</v>
      </c>
      <c r="Q161" t="s">
        <v>84</v>
      </c>
    </row>
    <row r="162" spans="1:18" x14ac:dyDescent="0.25">
      <c r="A162" t="s">
        <v>537</v>
      </c>
      <c r="B162" t="s">
        <v>538</v>
      </c>
      <c r="C162" t="s">
        <v>16</v>
      </c>
      <c r="D162" t="s">
        <v>538</v>
      </c>
      <c r="E162" t="s">
        <v>539</v>
      </c>
      <c r="F162" t="s">
        <v>18</v>
      </c>
      <c r="G162" t="s">
        <v>1399</v>
      </c>
      <c r="H162" t="s">
        <v>544</v>
      </c>
      <c r="I162" t="s">
        <v>545</v>
      </c>
      <c r="J162" t="s">
        <v>22</v>
      </c>
      <c r="K162">
        <v>723</v>
      </c>
      <c r="L162">
        <v>19711</v>
      </c>
      <c r="M162">
        <v>133008</v>
      </c>
    </row>
    <row r="163" spans="1:18" x14ac:dyDescent="0.25">
      <c r="A163" t="s">
        <v>546</v>
      </c>
      <c r="B163" t="s">
        <v>547</v>
      </c>
      <c r="C163" t="s">
        <v>16</v>
      </c>
      <c r="D163" t="s">
        <v>547</v>
      </c>
      <c r="E163" t="s">
        <v>548</v>
      </c>
      <c r="F163" t="s">
        <v>18</v>
      </c>
      <c r="G163" t="s">
        <v>549</v>
      </c>
      <c r="H163" t="s">
        <v>550</v>
      </c>
      <c r="I163" t="s">
        <v>551</v>
      </c>
      <c r="J163" t="s">
        <v>22</v>
      </c>
      <c r="K163" t="s">
        <v>552</v>
      </c>
      <c r="L163">
        <v>1007600</v>
      </c>
      <c r="Q163" t="s">
        <v>41</v>
      </c>
      <c r="R163" t="str">
        <f>"https://rxnav.nlm.nih.gov/REST/brands?ingredientids="&amp;K163</f>
        <v>https://rxnav.nlm.nih.gov/REST/brands?ingredientids=105669</v>
      </c>
    </row>
    <row r="164" spans="1:18" x14ac:dyDescent="0.25">
      <c r="A164" t="s">
        <v>546</v>
      </c>
      <c r="B164" t="s">
        <v>547</v>
      </c>
      <c r="C164" t="s">
        <v>16</v>
      </c>
      <c r="D164" t="s">
        <v>547</v>
      </c>
      <c r="E164" t="s">
        <v>548</v>
      </c>
      <c r="F164" t="s">
        <v>18</v>
      </c>
      <c r="G164" t="s">
        <v>553</v>
      </c>
      <c r="H164" t="s">
        <v>554</v>
      </c>
      <c r="I164" t="s">
        <v>194</v>
      </c>
      <c r="J164" t="s">
        <v>22</v>
      </c>
      <c r="K164" t="s">
        <v>555</v>
      </c>
      <c r="L164">
        <v>1007600</v>
      </c>
      <c r="Q164" t="s">
        <v>84</v>
      </c>
      <c r="R164" t="str">
        <f>R163&amp;"+"&amp;K164</f>
        <v>https://rxnav.nlm.nih.gov/REST/brands?ingredientids=105669+4511</v>
      </c>
    </row>
    <row r="165" spans="1:18" x14ac:dyDescent="0.25">
      <c r="A165" t="s">
        <v>546</v>
      </c>
      <c r="B165" t="s">
        <v>547</v>
      </c>
      <c r="C165" t="s">
        <v>16</v>
      </c>
      <c r="D165" t="s">
        <v>547</v>
      </c>
      <c r="E165" t="s">
        <v>548</v>
      </c>
      <c r="F165" t="s">
        <v>18</v>
      </c>
      <c r="G165" t="s">
        <v>330</v>
      </c>
      <c r="H165" t="s">
        <v>331</v>
      </c>
      <c r="I165" t="s">
        <v>557</v>
      </c>
      <c r="J165" t="s">
        <v>22</v>
      </c>
      <c r="K165" t="s">
        <v>333</v>
      </c>
      <c r="L165">
        <v>1007600</v>
      </c>
      <c r="R165" t="str">
        <f>R164&amp;"+"&amp;K165</f>
        <v>https://rxnav.nlm.nih.gov/REST/brands?ingredientids=105669+4511+11248</v>
      </c>
    </row>
    <row r="166" spans="1:18" x14ac:dyDescent="0.25">
      <c r="A166" t="s">
        <v>558</v>
      </c>
      <c r="B166" t="s">
        <v>559</v>
      </c>
      <c r="C166" t="s">
        <v>16</v>
      </c>
      <c r="D166" t="s">
        <v>559</v>
      </c>
      <c r="E166" t="s">
        <v>560</v>
      </c>
      <c r="F166" t="s">
        <v>18</v>
      </c>
      <c r="G166" t="s">
        <v>1400</v>
      </c>
      <c r="H166" t="s">
        <v>562</v>
      </c>
      <c r="I166" t="s">
        <v>358</v>
      </c>
      <c r="J166" t="s">
        <v>22</v>
      </c>
      <c r="K166">
        <v>1514</v>
      </c>
      <c r="L166">
        <v>1000711</v>
      </c>
      <c r="M166" t="s">
        <v>563</v>
      </c>
    </row>
    <row r="167" spans="1:18" x14ac:dyDescent="0.25">
      <c r="A167" t="s">
        <v>558</v>
      </c>
      <c r="B167" t="s">
        <v>559</v>
      </c>
      <c r="C167" t="s">
        <v>16</v>
      </c>
      <c r="D167" t="s">
        <v>559</v>
      </c>
      <c r="E167" t="s">
        <v>560</v>
      </c>
      <c r="F167" t="s">
        <v>18</v>
      </c>
      <c r="G167" t="s">
        <v>564</v>
      </c>
      <c r="H167" t="s">
        <v>565</v>
      </c>
      <c r="I167" t="s">
        <v>566</v>
      </c>
      <c r="J167" t="s">
        <v>22</v>
      </c>
      <c r="K167" t="s">
        <v>567</v>
      </c>
      <c r="L167">
        <v>1000711</v>
      </c>
      <c r="Q167" t="s">
        <v>41</v>
      </c>
    </row>
    <row r="168" spans="1:18" x14ac:dyDescent="0.25">
      <c r="A168" t="s">
        <v>568</v>
      </c>
      <c r="B168" t="s">
        <v>569</v>
      </c>
      <c r="C168" t="s">
        <v>16</v>
      </c>
      <c r="D168" t="s">
        <v>569</v>
      </c>
      <c r="E168" t="s">
        <v>570</v>
      </c>
      <c r="F168" t="s">
        <v>18</v>
      </c>
      <c r="G168" t="s">
        <v>459</v>
      </c>
      <c r="H168" t="s">
        <v>460</v>
      </c>
      <c r="I168" t="s">
        <v>461</v>
      </c>
      <c r="J168" t="s">
        <v>22</v>
      </c>
      <c r="K168" t="s">
        <v>462</v>
      </c>
      <c r="L168">
        <v>10831</v>
      </c>
      <c r="Q168" t="s">
        <v>41</v>
      </c>
    </row>
    <row r="169" spans="1:18" x14ac:dyDescent="0.25">
      <c r="A169" t="s">
        <v>568</v>
      </c>
      <c r="B169" t="s">
        <v>569</v>
      </c>
      <c r="C169" t="s">
        <v>16</v>
      </c>
      <c r="D169" t="s">
        <v>569</v>
      </c>
      <c r="E169" t="s">
        <v>570</v>
      </c>
      <c r="F169" t="s">
        <v>18</v>
      </c>
      <c r="G169" t="s">
        <v>463</v>
      </c>
      <c r="H169" t="s">
        <v>464</v>
      </c>
      <c r="I169" t="s">
        <v>465</v>
      </c>
      <c r="J169" t="s">
        <v>22</v>
      </c>
      <c r="K169" t="s">
        <v>466</v>
      </c>
      <c r="L169">
        <v>10831</v>
      </c>
      <c r="Q169" t="s">
        <v>84</v>
      </c>
    </row>
    <row r="170" spans="1:18" x14ac:dyDescent="0.25">
      <c r="A170" t="s">
        <v>571</v>
      </c>
      <c r="B170" t="s">
        <v>572</v>
      </c>
      <c r="C170" t="s">
        <v>16</v>
      </c>
      <c r="D170" t="s">
        <v>572</v>
      </c>
      <c r="E170" t="s">
        <v>573</v>
      </c>
      <c r="F170" t="s">
        <v>18</v>
      </c>
      <c r="G170" t="s">
        <v>574</v>
      </c>
      <c r="H170" t="s">
        <v>575</v>
      </c>
      <c r="I170" t="s">
        <v>576</v>
      </c>
      <c r="J170" t="s">
        <v>22</v>
      </c>
      <c r="K170">
        <v>3628</v>
      </c>
    </row>
    <row r="171" spans="1:18" x14ac:dyDescent="0.25">
      <c r="A171" t="s">
        <v>571</v>
      </c>
      <c r="B171" t="s">
        <v>572</v>
      </c>
      <c r="C171" t="s">
        <v>16</v>
      </c>
      <c r="D171" t="s">
        <v>572</v>
      </c>
      <c r="E171" t="s">
        <v>573</v>
      </c>
      <c r="F171" t="s">
        <v>18</v>
      </c>
      <c r="G171" t="s">
        <v>125</v>
      </c>
      <c r="H171" t="s">
        <v>126</v>
      </c>
      <c r="I171" t="s">
        <v>153</v>
      </c>
      <c r="J171" t="s">
        <v>22</v>
      </c>
      <c r="K171">
        <v>4850</v>
      </c>
      <c r="M171" t="s">
        <v>128</v>
      </c>
    </row>
    <row r="172" spans="1:18" x14ac:dyDescent="0.25">
      <c r="A172" t="s">
        <v>577</v>
      </c>
      <c r="B172" t="s">
        <v>578</v>
      </c>
      <c r="C172" t="s">
        <v>16</v>
      </c>
      <c r="D172" t="s">
        <v>578</v>
      </c>
      <c r="E172" t="s">
        <v>579</v>
      </c>
      <c r="F172" t="s">
        <v>18</v>
      </c>
      <c r="G172" t="s">
        <v>1401</v>
      </c>
      <c r="H172" t="s">
        <v>581</v>
      </c>
      <c r="I172" t="s">
        <v>358</v>
      </c>
      <c r="J172" t="s">
        <v>52</v>
      </c>
      <c r="K172">
        <v>733</v>
      </c>
      <c r="L172">
        <v>1009148</v>
      </c>
      <c r="M172" t="s">
        <v>582</v>
      </c>
    </row>
    <row r="173" spans="1:18" x14ac:dyDescent="0.25">
      <c r="A173" t="s">
        <v>577</v>
      </c>
      <c r="B173" t="s">
        <v>578</v>
      </c>
      <c r="C173" t="s">
        <v>16</v>
      </c>
      <c r="D173" t="s">
        <v>578</v>
      </c>
      <c r="E173" t="s">
        <v>579</v>
      </c>
      <c r="F173" t="s">
        <v>18</v>
      </c>
      <c r="G173" t="s">
        <v>583</v>
      </c>
      <c r="H173" t="s">
        <v>584</v>
      </c>
      <c r="I173" t="s">
        <v>495</v>
      </c>
      <c r="J173" t="s">
        <v>52</v>
      </c>
      <c r="K173">
        <v>10167</v>
      </c>
      <c r="L173">
        <v>1009148</v>
      </c>
      <c r="M173" t="s">
        <v>585</v>
      </c>
    </row>
    <row r="174" spans="1:18" x14ac:dyDescent="0.25">
      <c r="A174" t="s">
        <v>577</v>
      </c>
      <c r="B174" t="s">
        <v>578</v>
      </c>
      <c r="C174" t="s">
        <v>16</v>
      </c>
      <c r="D174" t="s">
        <v>578</v>
      </c>
      <c r="E174" t="s">
        <v>579</v>
      </c>
      <c r="F174" t="s">
        <v>18</v>
      </c>
      <c r="G174" t="s">
        <v>580</v>
      </c>
      <c r="H174" t="s">
        <v>581</v>
      </c>
      <c r="I174" t="s">
        <v>194</v>
      </c>
      <c r="J174" t="s">
        <v>52</v>
      </c>
      <c r="K174">
        <v>733</v>
      </c>
      <c r="L174">
        <v>1009148</v>
      </c>
      <c r="M174" t="s">
        <v>582</v>
      </c>
    </row>
    <row r="175" spans="1:18" x14ac:dyDescent="0.25">
      <c r="A175" t="s">
        <v>577</v>
      </c>
      <c r="B175" t="s">
        <v>578</v>
      </c>
      <c r="C175" t="s">
        <v>16</v>
      </c>
      <c r="D175" t="s">
        <v>578</v>
      </c>
      <c r="E175" t="s">
        <v>579</v>
      </c>
      <c r="F175" t="s">
        <v>18</v>
      </c>
      <c r="G175" t="s">
        <v>583</v>
      </c>
      <c r="H175" t="s">
        <v>584</v>
      </c>
      <c r="I175" t="s">
        <v>358</v>
      </c>
      <c r="J175" t="s">
        <v>52</v>
      </c>
      <c r="K175">
        <v>10167</v>
      </c>
      <c r="L175">
        <v>1009148</v>
      </c>
      <c r="M175" t="s">
        <v>585</v>
      </c>
    </row>
    <row r="176" spans="1:18" x14ac:dyDescent="0.25">
      <c r="A176" t="s">
        <v>577</v>
      </c>
      <c r="B176" t="s">
        <v>578</v>
      </c>
      <c r="C176" t="s">
        <v>16</v>
      </c>
      <c r="D176" t="s">
        <v>578</v>
      </c>
      <c r="E176" t="s">
        <v>579</v>
      </c>
      <c r="F176" t="s">
        <v>18</v>
      </c>
      <c r="G176" t="s">
        <v>580</v>
      </c>
      <c r="H176" t="s">
        <v>581</v>
      </c>
      <c r="I176" t="s">
        <v>491</v>
      </c>
      <c r="J176" t="s">
        <v>52</v>
      </c>
      <c r="K176">
        <v>733</v>
      </c>
      <c r="L176">
        <v>1009148</v>
      </c>
      <c r="M176" t="s">
        <v>582</v>
      </c>
    </row>
    <row r="177" spans="1:17" x14ac:dyDescent="0.25">
      <c r="A177" t="s">
        <v>577</v>
      </c>
      <c r="B177" t="s">
        <v>578</v>
      </c>
      <c r="C177" t="s">
        <v>16</v>
      </c>
      <c r="D177" t="s">
        <v>578</v>
      </c>
      <c r="E177" t="s">
        <v>579</v>
      </c>
      <c r="F177" t="s">
        <v>18</v>
      </c>
      <c r="G177" t="s">
        <v>583</v>
      </c>
      <c r="H177" t="s">
        <v>584</v>
      </c>
      <c r="I177" t="s">
        <v>194</v>
      </c>
      <c r="J177" t="s">
        <v>52</v>
      </c>
      <c r="K177">
        <v>10167</v>
      </c>
      <c r="L177">
        <v>1009148</v>
      </c>
      <c r="M177" t="s">
        <v>585</v>
      </c>
    </row>
    <row r="178" spans="1:17" x14ac:dyDescent="0.25">
      <c r="A178" t="s">
        <v>586</v>
      </c>
      <c r="B178" t="s">
        <v>587</v>
      </c>
      <c r="C178" t="s">
        <v>16</v>
      </c>
      <c r="D178" t="s">
        <v>587</v>
      </c>
      <c r="E178" t="s">
        <v>588</v>
      </c>
      <c r="F178" t="s">
        <v>18</v>
      </c>
      <c r="G178" t="s">
        <v>1402</v>
      </c>
      <c r="H178" t="s">
        <v>590</v>
      </c>
      <c r="I178" t="s">
        <v>265</v>
      </c>
      <c r="J178" t="s">
        <v>39</v>
      </c>
      <c r="K178">
        <v>41126</v>
      </c>
      <c r="L178">
        <v>1424888</v>
      </c>
      <c r="M178">
        <v>705022</v>
      </c>
    </row>
    <row r="179" spans="1:17" x14ac:dyDescent="0.25">
      <c r="A179" t="s">
        <v>586</v>
      </c>
      <c r="B179" t="s">
        <v>587</v>
      </c>
      <c r="C179" t="s">
        <v>16</v>
      </c>
      <c r="D179" t="s">
        <v>587</v>
      </c>
      <c r="E179" t="s">
        <v>588</v>
      </c>
      <c r="F179" t="s">
        <v>18</v>
      </c>
      <c r="G179" t="s">
        <v>591</v>
      </c>
      <c r="H179" t="s">
        <v>592</v>
      </c>
      <c r="I179" t="s">
        <v>307</v>
      </c>
      <c r="J179" t="s">
        <v>39</v>
      </c>
      <c r="K179">
        <v>1424884</v>
      </c>
      <c r="L179">
        <v>1424888</v>
      </c>
      <c r="M179">
        <v>1424883</v>
      </c>
    </row>
    <row r="180" spans="1:17" x14ac:dyDescent="0.25">
      <c r="A180" t="s">
        <v>593</v>
      </c>
      <c r="B180" t="s">
        <v>594</v>
      </c>
      <c r="C180" t="s">
        <v>16</v>
      </c>
      <c r="D180" t="s">
        <v>594</v>
      </c>
      <c r="E180" t="s">
        <v>595</v>
      </c>
      <c r="F180" t="s">
        <v>18</v>
      </c>
      <c r="G180" t="s">
        <v>596</v>
      </c>
      <c r="H180" t="s">
        <v>597</v>
      </c>
      <c r="I180" t="s">
        <v>171</v>
      </c>
      <c r="J180" t="s">
        <v>22</v>
      </c>
      <c r="K180">
        <v>3289</v>
      </c>
      <c r="M180" t="s">
        <v>598</v>
      </c>
    </row>
    <row r="181" spans="1:17" x14ac:dyDescent="0.25">
      <c r="A181" t="s">
        <v>593</v>
      </c>
      <c r="B181" t="s">
        <v>594</v>
      </c>
      <c r="C181" t="s">
        <v>16</v>
      </c>
      <c r="D181" t="s">
        <v>594</v>
      </c>
      <c r="E181" t="s">
        <v>595</v>
      </c>
      <c r="F181" t="s">
        <v>18</v>
      </c>
      <c r="G181" t="s">
        <v>599</v>
      </c>
      <c r="H181" t="s">
        <v>600</v>
      </c>
      <c r="I181" t="s">
        <v>601</v>
      </c>
      <c r="J181" t="s">
        <v>22</v>
      </c>
    </row>
    <row r="182" spans="1:17" x14ac:dyDescent="0.25">
      <c r="A182" t="s">
        <v>593</v>
      </c>
      <c r="B182" t="s">
        <v>594</v>
      </c>
      <c r="C182" t="s">
        <v>16</v>
      </c>
      <c r="D182" t="s">
        <v>594</v>
      </c>
      <c r="E182" t="s">
        <v>595</v>
      </c>
      <c r="F182" t="s">
        <v>18</v>
      </c>
      <c r="G182" t="s">
        <v>602</v>
      </c>
      <c r="H182" t="s">
        <v>603</v>
      </c>
      <c r="I182" t="s">
        <v>171</v>
      </c>
      <c r="J182" t="s">
        <v>22</v>
      </c>
      <c r="K182">
        <v>1426865</v>
      </c>
      <c r="M182" t="s">
        <v>604</v>
      </c>
    </row>
    <row r="183" spans="1:17" x14ac:dyDescent="0.25">
      <c r="A183" t="s">
        <v>605</v>
      </c>
      <c r="B183" t="s">
        <v>606</v>
      </c>
      <c r="C183" t="s">
        <v>16</v>
      </c>
      <c r="D183" t="s">
        <v>606</v>
      </c>
      <c r="E183" t="s">
        <v>607</v>
      </c>
      <c r="F183" t="s">
        <v>18</v>
      </c>
      <c r="G183" t="s">
        <v>1403</v>
      </c>
      <c r="H183" t="s">
        <v>608</v>
      </c>
      <c r="I183" t="s">
        <v>171</v>
      </c>
      <c r="J183" t="s">
        <v>22</v>
      </c>
    </row>
    <row r="184" spans="1:17" x14ac:dyDescent="0.25">
      <c r="A184" t="s">
        <v>605</v>
      </c>
      <c r="B184" t="s">
        <v>606</v>
      </c>
      <c r="C184" t="s">
        <v>16</v>
      </c>
      <c r="D184" t="s">
        <v>606</v>
      </c>
      <c r="E184" t="s">
        <v>607</v>
      </c>
      <c r="F184" t="s">
        <v>18</v>
      </c>
      <c r="G184" t="s">
        <v>609</v>
      </c>
      <c r="H184" t="s">
        <v>610</v>
      </c>
      <c r="I184" t="s">
        <v>259</v>
      </c>
      <c r="J184" t="s">
        <v>22</v>
      </c>
      <c r="K184" t="s">
        <v>611</v>
      </c>
      <c r="Q184" t="s">
        <v>41</v>
      </c>
    </row>
    <row r="185" spans="1:17" x14ac:dyDescent="0.25">
      <c r="A185" t="s">
        <v>605</v>
      </c>
      <c r="B185" t="s">
        <v>606</v>
      </c>
      <c r="C185" t="s">
        <v>16</v>
      </c>
      <c r="D185" t="s">
        <v>606</v>
      </c>
      <c r="E185" t="s">
        <v>607</v>
      </c>
      <c r="F185" t="s">
        <v>18</v>
      </c>
      <c r="G185" t="s">
        <v>612</v>
      </c>
      <c r="H185" t="s">
        <v>613</v>
      </c>
      <c r="I185" t="s">
        <v>491</v>
      </c>
      <c r="J185" t="s">
        <v>22</v>
      </c>
      <c r="K185" t="s">
        <v>614</v>
      </c>
      <c r="Q185" t="s">
        <v>41</v>
      </c>
    </row>
    <row r="186" spans="1:17" x14ac:dyDescent="0.25">
      <c r="A186" t="s">
        <v>615</v>
      </c>
      <c r="B186" t="s">
        <v>616</v>
      </c>
      <c r="C186" t="s">
        <v>16</v>
      </c>
      <c r="D186" t="s">
        <v>616</v>
      </c>
      <c r="E186" t="s">
        <v>617</v>
      </c>
      <c r="F186" t="s">
        <v>18</v>
      </c>
      <c r="G186" t="s">
        <v>618</v>
      </c>
      <c r="H186" t="s">
        <v>619</v>
      </c>
      <c r="I186" t="s">
        <v>491</v>
      </c>
      <c r="J186" t="s">
        <v>22</v>
      </c>
      <c r="K186">
        <v>134615</v>
      </c>
      <c r="L186">
        <v>597142</v>
      </c>
      <c r="M186" t="s">
        <v>620</v>
      </c>
      <c r="N186">
        <v>861199</v>
      </c>
      <c r="O186">
        <v>861636</v>
      </c>
      <c r="P186">
        <v>861635</v>
      </c>
      <c r="Q186" t="s">
        <v>84</v>
      </c>
    </row>
    <row r="187" spans="1:17" x14ac:dyDescent="0.25">
      <c r="A187" t="s">
        <v>615</v>
      </c>
      <c r="B187" t="s">
        <v>616</v>
      </c>
      <c r="C187" t="s">
        <v>16</v>
      </c>
      <c r="D187" t="s">
        <v>616</v>
      </c>
      <c r="E187" t="s">
        <v>617</v>
      </c>
      <c r="F187" t="s">
        <v>18</v>
      </c>
      <c r="G187" t="s">
        <v>621</v>
      </c>
      <c r="H187" t="s">
        <v>622</v>
      </c>
      <c r="I187" t="s">
        <v>623</v>
      </c>
      <c r="J187" t="s">
        <v>22</v>
      </c>
      <c r="K187">
        <v>10600</v>
      </c>
      <c r="L187">
        <v>597142</v>
      </c>
      <c r="M187" t="s">
        <v>624</v>
      </c>
      <c r="N187">
        <v>328742</v>
      </c>
      <c r="O187">
        <v>861636</v>
      </c>
      <c r="P187">
        <v>861635</v>
      </c>
      <c r="Q187" t="s">
        <v>84</v>
      </c>
    </row>
    <row r="188" spans="1:17" x14ac:dyDescent="0.25">
      <c r="A188" t="s">
        <v>625</v>
      </c>
      <c r="B188" t="s">
        <v>626</v>
      </c>
      <c r="C188" t="s">
        <v>16</v>
      </c>
      <c r="D188" t="s">
        <v>626</v>
      </c>
      <c r="E188" t="s">
        <v>627</v>
      </c>
      <c r="F188" t="s">
        <v>18</v>
      </c>
      <c r="G188" t="s">
        <v>628</v>
      </c>
      <c r="H188" t="s">
        <v>629</v>
      </c>
      <c r="I188" t="s">
        <v>194</v>
      </c>
      <c r="J188" t="s">
        <v>22</v>
      </c>
      <c r="K188">
        <v>4025</v>
      </c>
      <c r="L188">
        <v>214336</v>
      </c>
      <c r="M188" t="s">
        <v>630</v>
      </c>
      <c r="N188">
        <v>1291990</v>
      </c>
      <c r="P188">
        <v>1293504</v>
      </c>
      <c r="Q188" t="s">
        <v>84</v>
      </c>
    </row>
    <row r="189" spans="1:17" x14ac:dyDescent="0.25">
      <c r="A189" t="s">
        <v>625</v>
      </c>
      <c r="B189" t="s">
        <v>626</v>
      </c>
      <c r="C189" t="s">
        <v>16</v>
      </c>
      <c r="D189" t="s">
        <v>626</v>
      </c>
      <c r="E189" t="s">
        <v>627</v>
      </c>
      <c r="F189" t="s">
        <v>18</v>
      </c>
      <c r="G189" t="s">
        <v>631</v>
      </c>
      <c r="H189" t="s">
        <v>632</v>
      </c>
      <c r="I189" t="s">
        <v>265</v>
      </c>
      <c r="J189" t="s">
        <v>22</v>
      </c>
      <c r="K189" t="s">
        <v>633</v>
      </c>
      <c r="L189">
        <v>214336</v>
      </c>
      <c r="M189" t="s">
        <v>634</v>
      </c>
      <c r="N189">
        <v>315506</v>
      </c>
      <c r="P189">
        <v>1293504</v>
      </c>
      <c r="Q189" t="s">
        <v>84</v>
      </c>
    </row>
    <row r="190" spans="1:17" x14ac:dyDescent="0.25">
      <c r="A190" t="s">
        <v>635</v>
      </c>
      <c r="B190" t="s">
        <v>636</v>
      </c>
      <c r="C190" t="s">
        <v>637</v>
      </c>
      <c r="D190" t="s">
        <v>636</v>
      </c>
      <c r="E190" t="s">
        <v>637</v>
      </c>
      <c r="F190" t="s">
        <v>18</v>
      </c>
      <c r="G190" t="s">
        <v>368</v>
      </c>
      <c r="H190" t="s">
        <v>369</v>
      </c>
      <c r="I190" t="s">
        <v>638</v>
      </c>
      <c r="J190" t="s">
        <v>22</v>
      </c>
      <c r="K190">
        <v>17767</v>
      </c>
      <c r="L190">
        <v>729455</v>
      </c>
      <c r="M190" t="s">
        <v>371</v>
      </c>
      <c r="N190">
        <v>329528</v>
      </c>
      <c r="Q190" t="s">
        <v>84</v>
      </c>
    </row>
    <row r="191" spans="1:17" x14ac:dyDescent="0.25">
      <c r="A191" t="s">
        <v>635</v>
      </c>
      <c r="B191" t="s">
        <v>636</v>
      </c>
      <c r="C191" t="s">
        <v>637</v>
      </c>
      <c r="D191" t="s">
        <v>636</v>
      </c>
      <c r="E191" t="s">
        <v>637</v>
      </c>
      <c r="F191" t="s">
        <v>18</v>
      </c>
      <c r="G191" t="s">
        <v>639</v>
      </c>
      <c r="H191" t="s">
        <v>640</v>
      </c>
      <c r="I191" t="s">
        <v>465</v>
      </c>
      <c r="J191" t="s">
        <v>22</v>
      </c>
      <c r="K191" t="s">
        <v>641</v>
      </c>
      <c r="L191">
        <v>729455</v>
      </c>
      <c r="N191">
        <v>316882</v>
      </c>
      <c r="Q191" t="s">
        <v>41</v>
      </c>
    </row>
    <row r="192" spans="1:17" x14ac:dyDescent="0.25">
      <c r="A192" t="s">
        <v>642</v>
      </c>
      <c r="B192" t="s">
        <v>643</v>
      </c>
      <c r="C192" t="s">
        <v>16</v>
      </c>
      <c r="D192" t="s">
        <v>643</v>
      </c>
      <c r="E192" t="s">
        <v>644</v>
      </c>
      <c r="F192" t="s">
        <v>18</v>
      </c>
      <c r="G192" t="s">
        <v>645</v>
      </c>
      <c r="H192" t="s">
        <v>646</v>
      </c>
      <c r="I192" t="s">
        <v>265</v>
      </c>
      <c r="J192" t="s">
        <v>22</v>
      </c>
      <c r="K192" t="s">
        <v>647</v>
      </c>
      <c r="Q192" t="s">
        <v>41</v>
      </c>
    </row>
    <row r="193" spans="1:18" x14ac:dyDescent="0.25">
      <c r="A193" t="s">
        <v>642</v>
      </c>
      <c r="B193" t="s">
        <v>643</v>
      </c>
      <c r="C193" t="s">
        <v>16</v>
      </c>
      <c r="D193" t="s">
        <v>643</v>
      </c>
      <c r="E193" t="s">
        <v>644</v>
      </c>
      <c r="F193" t="s">
        <v>18</v>
      </c>
      <c r="G193" t="s">
        <v>648</v>
      </c>
      <c r="H193" t="s">
        <v>649</v>
      </c>
      <c r="I193" t="s">
        <v>153</v>
      </c>
      <c r="J193" t="s">
        <v>22</v>
      </c>
      <c r="K193" t="s">
        <v>650</v>
      </c>
      <c r="Q193" t="s">
        <v>84</v>
      </c>
    </row>
    <row r="194" spans="1:18" x14ac:dyDescent="0.25">
      <c r="A194" t="s">
        <v>651</v>
      </c>
      <c r="B194" t="s">
        <v>652</v>
      </c>
      <c r="C194" t="s">
        <v>16</v>
      </c>
      <c r="D194" t="s">
        <v>652</v>
      </c>
      <c r="E194" t="s">
        <v>653</v>
      </c>
      <c r="F194" t="s">
        <v>18</v>
      </c>
      <c r="G194" t="s">
        <v>654</v>
      </c>
      <c r="H194" t="s">
        <v>655</v>
      </c>
      <c r="I194" t="s">
        <v>153</v>
      </c>
      <c r="J194" t="s">
        <v>22</v>
      </c>
      <c r="K194">
        <v>10454</v>
      </c>
      <c r="M194" t="s">
        <v>656</v>
      </c>
      <c r="R194" t="str">
        <f>"https://rxnav.nlm.nih.gov/REST/brands?ingredientids="&amp;K194</f>
        <v>https://rxnav.nlm.nih.gov/REST/brands?ingredientids=10454</v>
      </c>
    </row>
    <row r="195" spans="1:18" x14ac:dyDescent="0.25">
      <c r="A195" t="s">
        <v>651</v>
      </c>
      <c r="B195" t="s">
        <v>652</v>
      </c>
      <c r="C195" t="s">
        <v>16</v>
      </c>
      <c r="D195" t="s">
        <v>652</v>
      </c>
      <c r="E195" t="s">
        <v>653</v>
      </c>
      <c r="F195" t="s">
        <v>18</v>
      </c>
      <c r="G195" t="s">
        <v>318</v>
      </c>
      <c r="H195" t="s">
        <v>319</v>
      </c>
      <c r="I195" t="s">
        <v>221</v>
      </c>
      <c r="J195" t="s">
        <v>22</v>
      </c>
      <c r="K195" t="s">
        <v>320</v>
      </c>
      <c r="R195" t="str">
        <f>R194&amp;"+"&amp;K195</f>
        <v>https://rxnav.nlm.nih.gov/REST/brands?ingredientids=10454+1925821</v>
      </c>
    </row>
    <row r="196" spans="1:18" x14ac:dyDescent="0.25">
      <c r="A196" t="s">
        <v>651</v>
      </c>
      <c r="B196" t="s">
        <v>652</v>
      </c>
      <c r="C196" t="s">
        <v>16</v>
      </c>
      <c r="D196" t="s">
        <v>652</v>
      </c>
      <c r="E196" t="s">
        <v>653</v>
      </c>
      <c r="F196" t="s">
        <v>18</v>
      </c>
      <c r="G196" t="s">
        <v>321</v>
      </c>
      <c r="H196" t="s">
        <v>322</v>
      </c>
      <c r="I196" t="s">
        <v>221</v>
      </c>
      <c r="J196" t="s">
        <v>22</v>
      </c>
      <c r="K196">
        <v>684879</v>
      </c>
      <c r="M196" t="s">
        <v>323</v>
      </c>
      <c r="R196" t="str">
        <f t="shared" ref="R196:R197" si="2">R195&amp;"+"&amp;K196</f>
        <v>https://rxnav.nlm.nih.gov/REST/brands?ingredientids=10454+1925821+684879</v>
      </c>
    </row>
    <row r="197" spans="1:18" x14ac:dyDescent="0.25">
      <c r="A197" t="s">
        <v>651</v>
      </c>
      <c r="B197" t="s">
        <v>652</v>
      </c>
      <c r="C197" t="s">
        <v>16</v>
      </c>
      <c r="D197" t="s">
        <v>652</v>
      </c>
      <c r="E197" t="s">
        <v>653</v>
      </c>
      <c r="F197" t="s">
        <v>18</v>
      </c>
      <c r="G197" t="s">
        <v>330</v>
      </c>
      <c r="H197" t="s">
        <v>331</v>
      </c>
      <c r="I197" t="s">
        <v>259</v>
      </c>
      <c r="J197" t="s">
        <v>39</v>
      </c>
      <c r="K197" t="s">
        <v>333</v>
      </c>
      <c r="R197" t="str">
        <f t="shared" si="2"/>
        <v>https://rxnav.nlm.nih.gov/REST/brands?ingredientids=10454+1925821+684879+11248</v>
      </c>
    </row>
    <row r="198" spans="1:18" x14ac:dyDescent="0.25">
      <c r="A198" t="s">
        <v>657</v>
      </c>
      <c r="B198" t="s">
        <v>658</v>
      </c>
      <c r="C198" t="s">
        <v>16</v>
      </c>
      <c r="D198" t="s">
        <v>658</v>
      </c>
      <c r="E198" t="s">
        <v>659</v>
      </c>
      <c r="F198" t="s">
        <v>18</v>
      </c>
      <c r="G198" t="s">
        <v>660</v>
      </c>
      <c r="H198" t="s">
        <v>661</v>
      </c>
      <c r="I198" t="s">
        <v>662</v>
      </c>
      <c r="J198" t="s">
        <v>663</v>
      </c>
      <c r="K198" t="s">
        <v>290</v>
      </c>
    </row>
    <row r="199" spans="1:18" x14ac:dyDescent="0.25">
      <c r="A199" t="s">
        <v>657</v>
      </c>
      <c r="B199" t="s">
        <v>658</v>
      </c>
      <c r="C199" t="s">
        <v>16</v>
      </c>
      <c r="D199" t="s">
        <v>658</v>
      </c>
      <c r="E199" t="s">
        <v>659</v>
      </c>
      <c r="F199" t="s">
        <v>18</v>
      </c>
      <c r="G199" t="s">
        <v>292</v>
      </c>
      <c r="H199" t="s">
        <v>293</v>
      </c>
      <c r="I199" t="s">
        <v>662</v>
      </c>
      <c r="J199" t="s">
        <v>663</v>
      </c>
      <c r="L199">
        <v>1007121</v>
      </c>
    </row>
    <row r="200" spans="1:18" x14ac:dyDescent="0.25">
      <c r="A200" t="s">
        <v>657</v>
      </c>
      <c r="B200" t="s">
        <v>658</v>
      </c>
      <c r="C200" t="s">
        <v>16</v>
      </c>
      <c r="D200" t="s">
        <v>658</v>
      </c>
      <c r="E200" t="s">
        <v>659</v>
      </c>
      <c r="F200" t="s">
        <v>18</v>
      </c>
      <c r="G200" t="s">
        <v>1384</v>
      </c>
      <c r="H200" t="s">
        <v>284</v>
      </c>
      <c r="I200" t="s">
        <v>285</v>
      </c>
      <c r="J200" t="s">
        <v>22</v>
      </c>
      <c r="K200">
        <v>47628</v>
      </c>
    </row>
    <row r="201" spans="1:18" x14ac:dyDescent="0.25">
      <c r="A201" t="s">
        <v>664</v>
      </c>
      <c r="B201" t="s">
        <v>665</v>
      </c>
      <c r="C201" t="s">
        <v>16</v>
      </c>
      <c r="D201" t="s">
        <v>665</v>
      </c>
      <c r="E201" t="s">
        <v>666</v>
      </c>
      <c r="F201" t="s">
        <v>18</v>
      </c>
      <c r="G201" t="s">
        <v>667</v>
      </c>
      <c r="H201" t="s">
        <v>668</v>
      </c>
      <c r="I201" t="s">
        <v>669</v>
      </c>
      <c r="J201" t="s">
        <v>22</v>
      </c>
      <c r="K201" t="s">
        <v>670</v>
      </c>
      <c r="M201" t="s">
        <v>671</v>
      </c>
      <c r="Q201" t="s">
        <v>84</v>
      </c>
      <c r="R201" t="str">
        <f>"https://rxnav.nlm.nih.gov/REST/brands?ingredientids="&amp;K201</f>
        <v>https://rxnav.nlm.nih.gov/REST/brands?ingredientids=6809</v>
      </c>
    </row>
    <row r="202" spans="1:18" x14ac:dyDescent="0.25">
      <c r="A202" t="s">
        <v>664</v>
      </c>
      <c r="B202" t="s">
        <v>665</v>
      </c>
      <c r="C202" t="s">
        <v>16</v>
      </c>
      <c r="D202" t="s">
        <v>665</v>
      </c>
      <c r="E202" t="s">
        <v>666</v>
      </c>
      <c r="F202" t="s">
        <v>18</v>
      </c>
      <c r="G202" t="s">
        <v>672</v>
      </c>
      <c r="H202" t="s">
        <v>673</v>
      </c>
      <c r="I202" t="s">
        <v>491</v>
      </c>
      <c r="J202" t="s">
        <v>22</v>
      </c>
      <c r="K202" t="s">
        <v>674</v>
      </c>
      <c r="Q202" t="s">
        <v>41</v>
      </c>
      <c r="R202" t="str">
        <f>R201&amp;"+"&amp;K202</f>
        <v>https://rxnav.nlm.nih.gov/REST/brands?ingredientids=6809+25789</v>
      </c>
    </row>
    <row r="203" spans="1:18" x14ac:dyDescent="0.25">
      <c r="A203" t="s">
        <v>675</v>
      </c>
      <c r="B203" t="s">
        <v>676</v>
      </c>
      <c r="C203" t="s">
        <v>16</v>
      </c>
      <c r="D203" t="s">
        <v>676</v>
      </c>
      <c r="E203" t="s">
        <v>677</v>
      </c>
      <c r="F203" t="s">
        <v>18</v>
      </c>
      <c r="G203" t="s">
        <v>678</v>
      </c>
      <c r="H203" t="s">
        <v>679</v>
      </c>
      <c r="I203" t="s">
        <v>680</v>
      </c>
      <c r="J203" t="s">
        <v>22</v>
      </c>
      <c r="K203" t="s">
        <v>681</v>
      </c>
      <c r="L203">
        <v>352362</v>
      </c>
      <c r="N203">
        <v>836394</v>
      </c>
      <c r="P203">
        <v>836395</v>
      </c>
    </row>
    <row r="204" spans="1:18" x14ac:dyDescent="0.25">
      <c r="A204" t="s">
        <v>675</v>
      </c>
      <c r="B204" t="s">
        <v>676</v>
      </c>
      <c r="C204" t="s">
        <v>16</v>
      </c>
      <c r="D204" t="s">
        <v>676</v>
      </c>
      <c r="E204" t="s">
        <v>677</v>
      </c>
      <c r="F204" t="s">
        <v>18</v>
      </c>
      <c r="G204" t="s">
        <v>390</v>
      </c>
      <c r="H204" t="s">
        <v>391</v>
      </c>
      <c r="I204" t="s">
        <v>682</v>
      </c>
      <c r="J204" t="s">
        <v>22</v>
      </c>
      <c r="K204" t="s">
        <v>393</v>
      </c>
      <c r="L204">
        <v>352362</v>
      </c>
      <c r="N204">
        <v>315263</v>
      </c>
      <c r="P204">
        <v>836395</v>
      </c>
      <c r="Q204" t="s">
        <v>41</v>
      </c>
    </row>
    <row r="205" spans="1:18" x14ac:dyDescent="0.25">
      <c r="A205" t="s">
        <v>683</v>
      </c>
      <c r="B205" t="s">
        <v>684</v>
      </c>
      <c r="C205" t="s">
        <v>16</v>
      </c>
      <c r="D205" t="s">
        <v>684</v>
      </c>
      <c r="E205" t="s">
        <v>685</v>
      </c>
      <c r="F205" t="s">
        <v>18</v>
      </c>
      <c r="G205" t="s">
        <v>686</v>
      </c>
      <c r="H205" t="s">
        <v>687</v>
      </c>
      <c r="I205" t="s">
        <v>38</v>
      </c>
      <c r="J205" t="s">
        <v>22</v>
      </c>
      <c r="K205" t="s">
        <v>688</v>
      </c>
      <c r="Q205" t="s">
        <v>41</v>
      </c>
    </row>
    <row r="206" spans="1:18" x14ac:dyDescent="0.25">
      <c r="A206" t="s">
        <v>683</v>
      </c>
      <c r="B206" t="s">
        <v>684</v>
      </c>
      <c r="C206" t="s">
        <v>16</v>
      </c>
      <c r="D206" t="s">
        <v>684</v>
      </c>
      <c r="E206" t="s">
        <v>685</v>
      </c>
      <c r="F206" t="s">
        <v>18</v>
      </c>
      <c r="G206" t="s">
        <v>689</v>
      </c>
      <c r="H206" t="s">
        <v>690</v>
      </c>
      <c r="I206" t="s">
        <v>307</v>
      </c>
      <c r="J206" t="s">
        <v>22</v>
      </c>
      <c r="K206">
        <v>42463</v>
      </c>
      <c r="M206" t="s">
        <v>691</v>
      </c>
      <c r="Q206" t="s">
        <v>84</v>
      </c>
    </row>
    <row r="207" spans="1:18" x14ac:dyDescent="0.25">
      <c r="A207" t="s">
        <v>692</v>
      </c>
      <c r="B207" t="s">
        <v>693</v>
      </c>
      <c r="C207" t="s">
        <v>16</v>
      </c>
      <c r="D207" t="s">
        <v>693</v>
      </c>
      <c r="E207" s="2" t="s">
        <v>694</v>
      </c>
      <c r="F207" t="s">
        <v>18</v>
      </c>
      <c r="G207" t="s">
        <v>695</v>
      </c>
      <c r="H207" t="s">
        <v>696</v>
      </c>
      <c r="I207" t="s">
        <v>697</v>
      </c>
      <c r="J207" t="s">
        <v>244</v>
      </c>
    </row>
    <row r="208" spans="1:18" x14ac:dyDescent="0.25">
      <c r="A208" t="s">
        <v>692</v>
      </c>
      <c r="B208" t="s">
        <v>693</v>
      </c>
      <c r="C208" t="s">
        <v>16</v>
      </c>
      <c r="D208" t="s">
        <v>693</v>
      </c>
      <c r="E208" s="2" t="s">
        <v>694</v>
      </c>
      <c r="F208" t="s">
        <v>18</v>
      </c>
      <c r="G208" t="s">
        <v>698</v>
      </c>
      <c r="H208" t="s">
        <v>699</v>
      </c>
      <c r="I208" t="s">
        <v>243</v>
      </c>
      <c r="J208" t="s">
        <v>244</v>
      </c>
      <c r="K208">
        <v>7676</v>
      </c>
      <c r="M208" t="s">
        <v>700</v>
      </c>
      <c r="Q208" t="s">
        <v>84</v>
      </c>
    </row>
    <row r="209" spans="1:17" x14ac:dyDescent="0.25">
      <c r="A209" t="s">
        <v>692</v>
      </c>
      <c r="B209" t="s">
        <v>693</v>
      </c>
      <c r="C209" t="s">
        <v>16</v>
      </c>
      <c r="D209" t="s">
        <v>693</v>
      </c>
      <c r="E209" s="2" t="s">
        <v>694</v>
      </c>
      <c r="F209" t="s">
        <v>18</v>
      </c>
      <c r="G209" t="s">
        <v>701</v>
      </c>
      <c r="H209" t="s">
        <v>702</v>
      </c>
      <c r="I209" t="s">
        <v>703</v>
      </c>
      <c r="J209" t="s">
        <v>22</v>
      </c>
      <c r="K209" t="s">
        <v>704</v>
      </c>
    </row>
    <row r="210" spans="1:17" x14ac:dyDescent="0.25">
      <c r="A210" t="s">
        <v>705</v>
      </c>
      <c r="B210" t="s">
        <v>706</v>
      </c>
      <c r="C210" t="s">
        <v>16</v>
      </c>
      <c r="D210" t="s">
        <v>706</v>
      </c>
      <c r="E210" t="s">
        <v>707</v>
      </c>
      <c r="F210" t="s">
        <v>18</v>
      </c>
      <c r="G210" t="s">
        <v>672</v>
      </c>
      <c r="H210" t="s">
        <v>673</v>
      </c>
      <c r="I210" t="s">
        <v>491</v>
      </c>
      <c r="J210" t="s">
        <v>22</v>
      </c>
      <c r="K210" t="s">
        <v>674</v>
      </c>
      <c r="Q210" t="s">
        <v>41</v>
      </c>
    </row>
    <row r="211" spans="1:17" x14ac:dyDescent="0.25">
      <c r="A211" t="s">
        <v>705</v>
      </c>
      <c r="B211" t="s">
        <v>706</v>
      </c>
      <c r="C211" t="s">
        <v>16</v>
      </c>
      <c r="D211" t="s">
        <v>706</v>
      </c>
      <c r="E211" t="s">
        <v>707</v>
      </c>
      <c r="F211" t="s">
        <v>18</v>
      </c>
      <c r="G211" t="s">
        <v>667</v>
      </c>
      <c r="H211" t="s">
        <v>668</v>
      </c>
      <c r="I211" t="s">
        <v>669</v>
      </c>
      <c r="J211" t="s">
        <v>22</v>
      </c>
      <c r="K211" t="s">
        <v>670</v>
      </c>
      <c r="M211" t="s">
        <v>671</v>
      </c>
      <c r="Q211" t="s">
        <v>84</v>
      </c>
    </row>
    <row r="212" spans="1:17" x14ac:dyDescent="0.25">
      <c r="A212" t="s">
        <v>708</v>
      </c>
      <c r="B212" t="s">
        <v>709</v>
      </c>
      <c r="C212" t="s">
        <v>16</v>
      </c>
      <c r="D212" t="s">
        <v>709</v>
      </c>
      <c r="E212" t="s">
        <v>710</v>
      </c>
      <c r="F212" t="s">
        <v>18</v>
      </c>
      <c r="G212" t="s">
        <v>368</v>
      </c>
      <c r="H212" t="s">
        <v>369</v>
      </c>
      <c r="I212" t="s">
        <v>711</v>
      </c>
      <c r="J212" t="s">
        <v>22</v>
      </c>
      <c r="K212">
        <v>17767</v>
      </c>
      <c r="L212">
        <v>1009015</v>
      </c>
      <c r="M212" t="s">
        <v>371</v>
      </c>
      <c r="N212">
        <v>329528</v>
      </c>
      <c r="P212">
        <v>730869</v>
      </c>
      <c r="Q212" t="s">
        <v>84</v>
      </c>
    </row>
    <row r="213" spans="1:17" x14ac:dyDescent="0.25">
      <c r="A213" t="s">
        <v>708</v>
      </c>
      <c r="B213" t="s">
        <v>709</v>
      </c>
      <c r="C213" t="s">
        <v>16</v>
      </c>
      <c r="D213" t="s">
        <v>709</v>
      </c>
      <c r="E213" t="s">
        <v>710</v>
      </c>
      <c r="F213" t="s">
        <v>18</v>
      </c>
      <c r="G213" t="s">
        <v>712</v>
      </c>
      <c r="H213" t="s">
        <v>713</v>
      </c>
      <c r="I213" t="s">
        <v>171</v>
      </c>
      <c r="J213" t="s">
        <v>22</v>
      </c>
      <c r="K213">
        <v>321064</v>
      </c>
      <c r="L213">
        <v>1009015</v>
      </c>
      <c r="M213" t="s">
        <v>714</v>
      </c>
      <c r="P213">
        <v>730869</v>
      </c>
      <c r="Q213" t="s">
        <v>84</v>
      </c>
    </row>
    <row r="214" spans="1:17" x14ac:dyDescent="0.25">
      <c r="A214" t="s">
        <v>715</v>
      </c>
      <c r="B214" t="s">
        <v>716</v>
      </c>
      <c r="C214" t="s">
        <v>16</v>
      </c>
      <c r="D214" t="s">
        <v>716</v>
      </c>
      <c r="E214" t="s">
        <v>717</v>
      </c>
      <c r="F214" t="s">
        <v>18</v>
      </c>
      <c r="G214" t="s">
        <v>718</v>
      </c>
      <c r="H214" t="s">
        <v>719</v>
      </c>
      <c r="I214" t="s">
        <v>153</v>
      </c>
      <c r="J214" t="s">
        <v>39</v>
      </c>
      <c r="K214">
        <v>29365</v>
      </c>
      <c r="L214">
        <v>690419</v>
      </c>
    </row>
    <row r="215" spans="1:17" x14ac:dyDescent="0.25">
      <c r="A215" t="s">
        <v>715</v>
      </c>
      <c r="B215" t="s">
        <v>716</v>
      </c>
      <c r="C215" t="s">
        <v>16</v>
      </c>
      <c r="D215" t="s">
        <v>716</v>
      </c>
      <c r="E215" t="s">
        <v>717</v>
      </c>
      <c r="F215" t="s">
        <v>18</v>
      </c>
      <c r="G215" t="s">
        <v>561</v>
      </c>
      <c r="H215" t="s">
        <v>562</v>
      </c>
      <c r="I215" t="s">
        <v>358</v>
      </c>
      <c r="J215" t="s">
        <v>22</v>
      </c>
      <c r="K215">
        <v>1514</v>
      </c>
      <c r="L215">
        <v>690419</v>
      </c>
      <c r="M215" t="s">
        <v>563</v>
      </c>
    </row>
    <row r="216" spans="1:17" x14ac:dyDescent="0.25">
      <c r="A216" t="s">
        <v>720</v>
      </c>
      <c r="B216" t="s">
        <v>721</v>
      </c>
      <c r="C216" t="s">
        <v>16</v>
      </c>
      <c r="D216" t="s">
        <v>721</v>
      </c>
      <c r="E216" s="2" t="s">
        <v>722</v>
      </c>
      <c r="F216" t="s">
        <v>18</v>
      </c>
      <c r="G216" t="s">
        <v>723</v>
      </c>
      <c r="H216" t="s">
        <v>724</v>
      </c>
      <c r="I216" t="s">
        <v>465</v>
      </c>
      <c r="J216" t="s">
        <v>22</v>
      </c>
      <c r="K216" t="s">
        <v>725</v>
      </c>
      <c r="L216">
        <v>901212</v>
      </c>
      <c r="N216">
        <v>316765</v>
      </c>
      <c r="O216">
        <v>876531</v>
      </c>
      <c r="P216">
        <v>879529</v>
      </c>
      <c r="Q216" t="s">
        <v>41</v>
      </c>
    </row>
    <row r="217" spans="1:17" x14ac:dyDescent="0.25">
      <c r="A217" t="s">
        <v>720</v>
      </c>
      <c r="B217" t="s">
        <v>721</v>
      </c>
      <c r="C217" t="s">
        <v>16</v>
      </c>
      <c r="D217" t="s">
        <v>721</v>
      </c>
      <c r="E217" s="2" t="s">
        <v>722</v>
      </c>
      <c r="F217" t="s">
        <v>18</v>
      </c>
      <c r="G217" t="s">
        <v>726</v>
      </c>
      <c r="H217" t="s">
        <v>727</v>
      </c>
      <c r="I217" t="s">
        <v>728</v>
      </c>
      <c r="J217" t="s">
        <v>22</v>
      </c>
      <c r="K217">
        <v>17767</v>
      </c>
      <c r="L217">
        <v>901212</v>
      </c>
      <c r="M217" t="s">
        <v>371</v>
      </c>
      <c r="N217">
        <v>329528</v>
      </c>
      <c r="O217">
        <v>876531</v>
      </c>
      <c r="P217">
        <v>879529</v>
      </c>
    </row>
    <row r="218" spans="1:17" x14ac:dyDescent="0.25">
      <c r="A218" t="s">
        <v>729</v>
      </c>
      <c r="B218" t="s">
        <v>730</v>
      </c>
      <c r="C218" t="s">
        <v>16</v>
      </c>
      <c r="D218" t="s">
        <v>730</v>
      </c>
      <c r="E218" t="s">
        <v>731</v>
      </c>
      <c r="F218" t="s">
        <v>18</v>
      </c>
      <c r="G218" t="s">
        <v>314</v>
      </c>
      <c r="H218" t="s">
        <v>315</v>
      </c>
      <c r="I218" t="s">
        <v>732</v>
      </c>
      <c r="J218" t="s">
        <v>22</v>
      </c>
      <c r="K218">
        <v>10454</v>
      </c>
      <c r="M218" t="s">
        <v>317</v>
      </c>
      <c r="Q218" t="s">
        <v>84</v>
      </c>
    </row>
    <row r="219" spans="1:17" x14ac:dyDescent="0.25">
      <c r="A219" t="s">
        <v>729</v>
      </c>
      <c r="B219" t="s">
        <v>730</v>
      </c>
      <c r="C219" t="s">
        <v>16</v>
      </c>
      <c r="D219" t="s">
        <v>730</v>
      </c>
      <c r="E219" t="s">
        <v>731</v>
      </c>
      <c r="F219" t="s">
        <v>18</v>
      </c>
      <c r="G219" t="s">
        <v>733</v>
      </c>
      <c r="H219" t="s">
        <v>734</v>
      </c>
      <c r="I219" t="s">
        <v>735</v>
      </c>
      <c r="J219" t="s">
        <v>22</v>
      </c>
      <c r="K219">
        <v>1925821</v>
      </c>
      <c r="M219" t="s">
        <v>736</v>
      </c>
    </row>
    <row r="220" spans="1:17" x14ac:dyDescent="0.25">
      <c r="A220" t="s">
        <v>729</v>
      </c>
      <c r="B220" t="s">
        <v>730</v>
      </c>
      <c r="C220" t="s">
        <v>16</v>
      </c>
      <c r="D220" t="s">
        <v>730</v>
      </c>
      <c r="E220" t="s">
        <v>731</v>
      </c>
      <c r="F220" t="s">
        <v>18</v>
      </c>
      <c r="G220" t="s">
        <v>321</v>
      </c>
      <c r="H220" t="s">
        <v>322</v>
      </c>
      <c r="I220" t="s">
        <v>737</v>
      </c>
      <c r="J220" t="s">
        <v>22</v>
      </c>
      <c r="K220">
        <v>684879</v>
      </c>
      <c r="M220" t="s">
        <v>323</v>
      </c>
    </row>
    <row r="221" spans="1:17" x14ac:dyDescent="0.25">
      <c r="A221" t="s">
        <v>729</v>
      </c>
      <c r="B221" t="s">
        <v>730</v>
      </c>
      <c r="C221" t="s">
        <v>16</v>
      </c>
      <c r="D221" t="s">
        <v>730</v>
      </c>
      <c r="E221" t="s">
        <v>731</v>
      </c>
      <c r="F221" t="s">
        <v>18</v>
      </c>
      <c r="G221" t="s">
        <v>330</v>
      </c>
      <c r="H221" t="s">
        <v>331</v>
      </c>
      <c r="I221" t="s">
        <v>738</v>
      </c>
      <c r="J221" t="s">
        <v>22</v>
      </c>
      <c r="K221" t="s">
        <v>333</v>
      </c>
    </row>
    <row r="222" spans="1:17" x14ac:dyDescent="0.25">
      <c r="A222" t="s">
        <v>729</v>
      </c>
      <c r="B222" t="s">
        <v>730</v>
      </c>
      <c r="C222" t="s">
        <v>16</v>
      </c>
      <c r="D222" t="s">
        <v>730</v>
      </c>
      <c r="E222" t="s">
        <v>731</v>
      </c>
      <c r="F222" t="s">
        <v>18</v>
      </c>
      <c r="G222" t="s">
        <v>1386</v>
      </c>
      <c r="H222" t="s">
        <v>325</v>
      </c>
      <c r="I222" t="s">
        <v>307</v>
      </c>
      <c r="J222" t="s">
        <v>22</v>
      </c>
      <c r="K222">
        <v>7405</v>
      </c>
    </row>
    <row r="223" spans="1:17" x14ac:dyDescent="0.25">
      <c r="A223" t="s">
        <v>729</v>
      </c>
      <c r="B223" t="s">
        <v>730</v>
      </c>
      <c r="C223" t="s">
        <v>16</v>
      </c>
      <c r="D223" t="s">
        <v>730</v>
      </c>
      <c r="E223" t="s">
        <v>731</v>
      </c>
      <c r="F223" t="s">
        <v>18</v>
      </c>
      <c r="G223" t="s">
        <v>553</v>
      </c>
      <c r="H223" t="s">
        <v>554</v>
      </c>
      <c r="I223" t="s">
        <v>188</v>
      </c>
      <c r="J223" t="s">
        <v>22</v>
      </c>
      <c r="K223" t="s">
        <v>555</v>
      </c>
      <c r="M223" t="s">
        <v>556</v>
      </c>
      <c r="Q223" t="s">
        <v>84</v>
      </c>
    </row>
    <row r="224" spans="1:17" x14ac:dyDescent="0.25">
      <c r="A224" t="s">
        <v>729</v>
      </c>
      <c r="B224" t="s">
        <v>730</v>
      </c>
      <c r="C224" t="s">
        <v>16</v>
      </c>
      <c r="D224" t="s">
        <v>730</v>
      </c>
      <c r="E224" t="s">
        <v>731</v>
      </c>
      <c r="F224" t="s">
        <v>18</v>
      </c>
      <c r="G224" t="s">
        <v>1405</v>
      </c>
      <c r="H224" t="s">
        <v>739</v>
      </c>
      <c r="I224" t="s">
        <v>265</v>
      </c>
      <c r="J224" t="s">
        <v>22</v>
      </c>
      <c r="K224" t="s">
        <v>740</v>
      </c>
    </row>
    <row r="225" spans="1:18" x14ac:dyDescent="0.25">
      <c r="A225" t="s">
        <v>729</v>
      </c>
      <c r="B225" t="s">
        <v>730</v>
      </c>
      <c r="C225" t="s">
        <v>16</v>
      </c>
      <c r="D225" t="s">
        <v>730</v>
      </c>
      <c r="E225" t="s">
        <v>731</v>
      </c>
      <c r="F225" t="s">
        <v>18</v>
      </c>
      <c r="G225" t="s">
        <v>1406</v>
      </c>
      <c r="H225" t="s">
        <v>741</v>
      </c>
      <c r="I225" t="s">
        <v>742</v>
      </c>
      <c r="J225" t="s">
        <v>22</v>
      </c>
      <c r="K225">
        <v>1044977</v>
      </c>
    </row>
    <row r="226" spans="1:18" x14ac:dyDescent="0.25">
      <c r="A226" t="s">
        <v>729</v>
      </c>
      <c r="B226" t="s">
        <v>730</v>
      </c>
      <c r="C226" t="s">
        <v>16</v>
      </c>
      <c r="D226" t="s">
        <v>730</v>
      </c>
      <c r="E226" t="s">
        <v>731</v>
      </c>
      <c r="F226" t="s">
        <v>18</v>
      </c>
      <c r="G226" t="s">
        <v>743</v>
      </c>
      <c r="H226" t="s">
        <v>744</v>
      </c>
      <c r="I226" t="s">
        <v>745</v>
      </c>
      <c r="J226" t="s">
        <v>22</v>
      </c>
      <c r="K226" t="s">
        <v>746</v>
      </c>
      <c r="Q226" t="s">
        <v>41</v>
      </c>
    </row>
    <row r="227" spans="1:18" x14ac:dyDescent="0.25">
      <c r="A227" t="s">
        <v>729</v>
      </c>
      <c r="B227" t="s">
        <v>730</v>
      </c>
      <c r="C227" t="s">
        <v>16</v>
      </c>
      <c r="D227" t="s">
        <v>730</v>
      </c>
      <c r="E227" t="s">
        <v>731</v>
      </c>
      <c r="F227" t="s">
        <v>18</v>
      </c>
      <c r="G227" t="s">
        <v>747</v>
      </c>
      <c r="H227" t="s">
        <v>748</v>
      </c>
      <c r="I227" t="s">
        <v>749</v>
      </c>
      <c r="J227" t="s">
        <v>300</v>
      </c>
      <c r="K227">
        <v>11246</v>
      </c>
      <c r="M227" t="s">
        <v>291</v>
      </c>
      <c r="Q227" t="s">
        <v>84</v>
      </c>
    </row>
    <row r="228" spans="1:18" x14ac:dyDescent="0.25">
      <c r="A228" t="s">
        <v>729</v>
      </c>
      <c r="B228" t="s">
        <v>730</v>
      </c>
      <c r="C228" t="s">
        <v>16</v>
      </c>
      <c r="D228" t="s">
        <v>730</v>
      </c>
      <c r="E228" t="s">
        <v>731</v>
      </c>
      <c r="F228" t="s">
        <v>18</v>
      </c>
      <c r="G228" t="s">
        <v>750</v>
      </c>
      <c r="H228" t="s">
        <v>751</v>
      </c>
      <c r="I228" t="s">
        <v>738</v>
      </c>
      <c r="J228" t="s">
        <v>22</v>
      </c>
      <c r="K228">
        <v>2418</v>
      </c>
    </row>
    <row r="229" spans="1:18" x14ac:dyDescent="0.25">
      <c r="A229" t="s">
        <v>729</v>
      </c>
      <c r="B229" t="s">
        <v>730</v>
      </c>
      <c r="C229" t="s">
        <v>16</v>
      </c>
      <c r="D229" t="s">
        <v>730</v>
      </c>
      <c r="E229" t="s">
        <v>731</v>
      </c>
      <c r="F229" t="s">
        <v>18</v>
      </c>
      <c r="G229" t="s">
        <v>1407</v>
      </c>
      <c r="H229" t="s">
        <v>752</v>
      </c>
      <c r="I229" t="s">
        <v>259</v>
      </c>
      <c r="J229" t="s">
        <v>22</v>
      </c>
      <c r="K229">
        <v>1236136</v>
      </c>
    </row>
    <row r="230" spans="1:18" x14ac:dyDescent="0.25">
      <c r="A230" t="s">
        <v>729</v>
      </c>
      <c r="B230" t="s">
        <v>730</v>
      </c>
      <c r="C230" t="s">
        <v>16</v>
      </c>
      <c r="D230" t="s">
        <v>730</v>
      </c>
      <c r="E230" t="s">
        <v>731</v>
      </c>
      <c r="F230" t="s">
        <v>18</v>
      </c>
      <c r="G230" t="s">
        <v>1408</v>
      </c>
      <c r="H230" t="s">
        <v>754</v>
      </c>
      <c r="I230" t="s">
        <v>491</v>
      </c>
      <c r="J230" t="s">
        <v>22</v>
      </c>
      <c r="K230" t="s">
        <v>755</v>
      </c>
      <c r="Q230" t="s">
        <v>41</v>
      </c>
    </row>
    <row r="231" spans="1:18" x14ac:dyDescent="0.25">
      <c r="A231" t="s">
        <v>756</v>
      </c>
      <c r="B231" t="s">
        <v>757</v>
      </c>
      <c r="C231" t="s">
        <v>16</v>
      </c>
      <c r="D231" t="s">
        <v>757</v>
      </c>
      <c r="E231" s="2" t="s">
        <v>758</v>
      </c>
      <c r="F231" t="s">
        <v>18</v>
      </c>
      <c r="G231" t="s">
        <v>759</v>
      </c>
      <c r="H231" t="s">
        <v>760</v>
      </c>
      <c r="I231" t="s">
        <v>265</v>
      </c>
      <c r="J231" t="s">
        <v>22</v>
      </c>
      <c r="K231">
        <v>4850</v>
      </c>
      <c r="M231" t="s">
        <v>761</v>
      </c>
      <c r="R231" t="str">
        <f>"https://rxnav.nlm.nih.gov/REST/brands?ingredientids="&amp;K231</f>
        <v>https://rxnav.nlm.nih.gov/REST/brands?ingredientids=4850</v>
      </c>
    </row>
    <row r="232" spans="1:18" x14ac:dyDescent="0.25">
      <c r="A232" t="s">
        <v>756</v>
      </c>
      <c r="B232" t="s">
        <v>757</v>
      </c>
      <c r="C232" t="s">
        <v>16</v>
      </c>
      <c r="D232" t="s">
        <v>757</v>
      </c>
      <c r="E232" s="2" t="s">
        <v>758</v>
      </c>
      <c r="F232" t="s">
        <v>18</v>
      </c>
      <c r="G232" t="s">
        <v>85</v>
      </c>
      <c r="H232" t="s">
        <v>86</v>
      </c>
      <c r="I232" t="s">
        <v>171</v>
      </c>
      <c r="J232" t="s">
        <v>22</v>
      </c>
      <c r="K232">
        <v>1901</v>
      </c>
      <c r="M232" t="s">
        <v>88</v>
      </c>
      <c r="R232" t="str">
        <f>R231&amp;"+"&amp;K232</f>
        <v>https://rxnav.nlm.nih.gov/REST/brands?ingredientids=4850+1901</v>
      </c>
    </row>
    <row r="233" spans="1:18" x14ac:dyDescent="0.25">
      <c r="A233" t="s">
        <v>762</v>
      </c>
      <c r="B233" t="s">
        <v>763</v>
      </c>
      <c r="C233" t="s">
        <v>16</v>
      </c>
      <c r="D233" t="s">
        <v>763</v>
      </c>
      <c r="E233" t="s">
        <v>764</v>
      </c>
      <c r="F233" t="s">
        <v>18</v>
      </c>
      <c r="G233" t="s">
        <v>765</v>
      </c>
      <c r="H233" t="s">
        <v>766</v>
      </c>
      <c r="I233" t="s">
        <v>197</v>
      </c>
      <c r="J233" t="s">
        <v>22</v>
      </c>
      <c r="K233">
        <v>1347</v>
      </c>
      <c r="M233" t="s">
        <v>767</v>
      </c>
      <c r="Q233" t="s">
        <v>84</v>
      </c>
      <c r="R233" t="str">
        <f>"https://rxnav.nlm.nih.gov/REST/brands?ingredientids="&amp;K233</f>
        <v>https://rxnav.nlm.nih.gov/REST/brands?ingredientids=1347</v>
      </c>
    </row>
    <row r="234" spans="1:18" x14ac:dyDescent="0.25">
      <c r="A234" t="s">
        <v>762</v>
      </c>
      <c r="B234" t="s">
        <v>763</v>
      </c>
      <c r="C234" t="s">
        <v>16</v>
      </c>
      <c r="D234" t="s">
        <v>763</v>
      </c>
      <c r="E234" t="s">
        <v>764</v>
      </c>
      <c r="F234" t="s">
        <v>18</v>
      </c>
      <c r="G234" t="s">
        <v>42</v>
      </c>
      <c r="H234" t="s">
        <v>43</v>
      </c>
      <c r="I234" t="s">
        <v>768</v>
      </c>
      <c r="J234" t="s">
        <v>22</v>
      </c>
      <c r="K234">
        <v>25255</v>
      </c>
      <c r="M234" t="s">
        <v>45</v>
      </c>
      <c r="R234" t="str">
        <f>R233&amp;"+"&amp;K234</f>
        <v>https://rxnav.nlm.nih.gov/REST/brands?ingredientids=1347+25255</v>
      </c>
    </row>
    <row r="235" spans="1:18" x14ac:dyDescent="0.25">
      <c r="A235" t="s">
        <v>769</v>
      </c>
      <c r="B235" t="s">
        <v>770</v>
      </c>
      <c r="C235" t="s">
        <v>16</v>
      </c>
      <c r="D235" t="s">
        <v>770</v>
      </c>
      <c r="E235" s="2" t="s">
        <v>771</v>
      </c>
      <c r="F235" t="s">
        <v>18</v>
      </c>
      <c r="G235" t="s">
        <v>678</v>
      </c>
      <c r="H235" t="s">
        <v>679</v>
      </c>
      <c r="I235" t="s">
        <v>680</v>
      </c>
      <c r="J235" t="s">
        <v>22</v>
      </c>
      <c r="K235" t="s">
        <v>681</v>
      </c>
      <c r="L235">
        <v>352362</v>
      </c>
      <c r="N235">
        <v>836394</v>
      </c>
      <c r="P235">
        <v>836395</v>
      </c>
    </row>
    <row r="236" spans="1:18" x14ac:dyDescent="0.25">
      <c r="A236" t="s">
        <v>769</v>
      </c>
      <c r="B236" t="s">
        <v>770</v>
      </c>
      <c r="C236" t="s">
        <v>16</v>
      </c>
      <c r="D236" t="s">
        <v>770</v>
      </c>
      <c r="E236" s="2" t="s">
        <v>771</v>
      </c>
      <c r="F236" t="s">
        <v>18</v>
      </c>
      <c r="G236" t="s">
        <v>390</v>
      </c>
      <c r="H236" t="s">
        <v>391</v>
      </c>
      <c r="I236" t="s">
        <v>682</v>
      </c>
      <c r="J236" t="s">
        <v>22</v>
      </c>
      <c r="K236" t="s">
        <v>393</v>
      </c>
      <c r="L236">
        <v>352362</v>
      </c>
      <c r="N236">
        <v>315263</v>
      </c>
      <c r="P236">
        <v>836395</v>
      </c>
      <c r="Q236" t="s">
        <v>41</v>
      </c>
    </row>
    <row r="237" spans="1:18" x14ac:dyDescent="0.25">
      <c r="A237" t="s">
        <v>772</v>
      </c>
      <c r="B237" t="s">
        <v>773</v>
      </c>
      <c r="C237" t="s">
        <v>16</v>
      </c>
      <c r="D237" t="s">
        <v>773</v>
      </c>
      <c r="E237" t="s">
        <v>774</v>
      </c>
      <c r="F237" t="s">
        <v>18</v>
      </c>
      <c r="G237" t="s">
        <v>489</v>
      </c>
      <c r="H237" t="s">
        <v>490</v>
      </c>
      <c r="I237" t="s">
        <v>491</v>
      </c>
      <c r="J237" t="s">
        <v>52</v>
      </c>
      <c r="K237">
        <v>8339</v>
      </c>
      <c r="L237">
        <v>74169</v>
      </c>
      <c r="M237" t="s">
        <v>492</v>
      </c>
      <c r="N237">
        <v>1659128</v>
      </c>
      <c r="P237">
        <v>1659131</v>
      </c>
    </row>
    <row r="238" spans="1:18" x14ac:dyDescent="0.25">
      <c r="A238" t="s">
        <v>772</v>
      </c>
      <c r="B238" t="s">
        <v>773</v>
      </c>
      <c r="C238" t="s">
        <v>16</v>
      </c>
      <c r="D238" t="s">
        <v>773</v>
      </c>
      <c r="E238" t="s">
        <v>774</v>
      </c>
      <c r="F238" t="s">
        <v>18</v>
      </c>
      <c r="G238" t="s">
        <v>493</v>
      </c>
      <c r="H238" t="s">
        <v>494</v>
      </c>
      <c r="I238" t="s">
        <v>495</v>
      </c>
      <c r="J238" t="s">
        <v>52</v>
      </c>
      <c r="K238">
        <v>37617</v>
      </c>
      <c r="L238">
        <v>74169</v>
      </c>
      <c r="M238" t="s">
        <v>496</v>
      </c>
      <c r="N238">
        <v>1659129</v>
      </c>
      <c r="P238">
        <v>1659131</v>
      </c>
    </row>
    <row r="239" spans="1:18" x14ac:dyDescent="0.25">
      <c r="A239" t="s">
        <v>772</v>
      </c>
      <c r="B239" t="s">
        <v>773</v>
      </c>
      <c r="C239" t="s">
        <v>16</v>
      </c>
      <c r="D239" t="s">
        <v>773</v>
      </c>
      <c r="E239" t="s">
        <v>774</v>
      </c>
      <c r="F239" t="s">
        <v>18</v>
      </c>
      <c r="G239" t="s">
        <v>489</v>
      </c>
      <c r="H239" t="s">
        <v>490</v>
      </c>
      <c r="I239" t="s">
        <v>316</v>
      </c>
      <c r="J239" t="s">
        <v>52</v>
      </c>
      <c r="K239">
        <v>8339</v>
      </c>
      <c r="L239">
        <v>74169</v>
      </c>
      <c r="M239" t="s">
        <v>492</v>
      </c>
      <c r="N239">
        <v>1659148</v>
      </c>
      <c r="P239">
        <v>1659149</v>
      </c>
    </row>
    <row r="240" spans="1:18" x14ac:dyDescent="0.25">
      <c r="A240" t="s">
        <v>772</v>
      </c>
      <c r="B240" t="s">
        <v>773</v>
      </c>
      <c r="C240" t="s">
        <v>16</v>
      </c>
      <c r="D240" t="s">
        <v>773</v>
      </c>
      <c r="E240" t="s">
        <v>774</v>
      </c>
      <c r="F240" t="s">
        <v>18</v>
      </c>
      <c r="G240" t="s">
        <v>493</v>
      </c>
      <c r="H240" t="s">
        <v>494</v>
      </c>
      <c r="I240" t="s">
        <v>358</v>
      </c>
      <c r="J240" t="s">
        <v>52</v>
      </c>
      <c r="K240">
        <v>37617</v>
      </c>
      <c r="L240">
        <v>74169</v>
      </c>
      <c r="M240" t="s">
        <v>496</v>
      </c>
      <c r="N240">
        <v>1656793</v>
      </c>
      <c r="P240">
        <v>1659149</v>
      </c>
    </row>
    <row r="241" spans="1:18" x14ac:dyDescent="0.25">
      <c r="A241" t="s">
        <v>775</v>
      </c>
      <c r="B241" t="s">
        <v>776</v>
      </c>
      <c r="C241" t="s">
        <v>16</v>
      </c>
      <c r="D241" t="s">
        <v>776</v>
      </c>
      <c r="E241" s="2" t="s">
        <v>777</v>
      </c>
      <c r="F241" t="s">
        <v>18</v>
      </c>
      <c r="G241" t="s">
        <v>778</v>
      </c>
      <c r="H241" t="s">
        <v>779</v>
      </c>
      <c r="I241" t="s">
        <v>780</v>
      </c>
      <c r="J241" t="s">
        <v>22</v>
      </c>
      <c r="K241">
        <v>723</v>
      </c>
      <c r="L241">
        <v>19711</v>
      </c>
      <c r="M241">
        <v>133008</v>
      </c>
    </row>
    <row r="242" spans="1:18" x14ac:dyDescent="0.25">
      <c r="A242" t="s">
        <v>775</v>
      </c>
      <c r="B242" t="s">
        <v>776</v>
      </c>
      <c r="C242" t="s">
        <v>16</v>
      </c>
      <c r="D242" t="s">
        <v>776</v>
      </c>
      <c r="E242" s="2" t="s">
        <v>777</v>
      </c>
      <c r="F242" t="s">
        <v>18</v>
      </c>
      <c r="G242" t="s">
        <v>540</v>
      </c>
      <c r="H242" t="s">
        <v>541</v>
      </c>
      <c r="I242" t="s">
        <v>781</v>
      </c>
      <c r="J242" t="s">
        <v>22</v>
      </c>
      <c r="K242">
        <v>48203</v>
      </c>
      <c r="L242">
        <v>19711</v>
      </c>
      <c r="M242">
        <v>831418</v>
      </c>
      <c r="Q242" t="s">
        <v>84</v>
      </c>
    </row>
    <row r="243" spans="1:18" x14ac:dyDescent="0.25">
      <c r="A243" t="s">
        <v>782</v>
      </c>
      <c r="B243" t="s">
        <v>783</v>
      </c>
      <c r="C243" t="s">
        <v>16</v>
      </c>
      <c r="D243" t="s">
        <v>783</v>
      </c>
      <c r="E243" t="s">
        <v>784</v>
      </c>
      <c r="F243" t="s">
        <v>18</v>
      </c>
      <c r="G243" t="s">
        <v>785</v>
      </c>
      <c r="H243" t="s">
        <v>786</v>
      </c>
      <c r="I243" t="s">
        <v>787</v>
      </c>
      <c r="J243" t="s">
        <v>22</v>
      </c>
      <c r="K243" t="s">
        <v>788</v>
      </c>
      <c r="L243">
        <v>816583</v>
      </c>
      <c r="Q243" t="s">
        <v>41</v>
      </c>
    </row>
    <row r="244" spans="1:18" x14ac:dyDescent="0.25">
      <c r="A244" t="s">
        <v>782</v>
      </c>
      <c r="B244" t="s">
        <v>783</v>
      </c>
      <c r="C244" t="s">
        <v>16</v>
      </c>
      <c r="D244" t="s">
        <v>783</v>
      </c>
      <c r="E244" t="s">
        <v>784</v>
      </c>
      <c r="F244" t="s">
        <v>18</v>
      </c>
      <c r="G244" t="s">
        <v>390</v>
      </c>
      <c r="H244" t="s">
        <v>391</v>
      </c>
      <c r="I244" t="s">
        <v>789</v>
      </c>
      <c r="J244" t="s">
        <v>22</v>
      </c>
      <c r="K244" t="s">
        <v>393</v>
      </c>
      <c r="L244">
        <v>816583</v>
      </c>
      <c r="Q244" t="s">
        <v>41</v>
      </c>
    </row>
    <row r="245" spans="1:18" x14ac:dyDescent="0.25">
      <c r="A245" t="s">
        <v>790</v>
      </c>
      <c r="B245" t="s">
        <v>791</v>
      </c>
      <c r="C245" t="s">
        <v>16</v>
      </c>
      <c r="D245" t="s">
        <v>791</v>
      </c>
      <c r="E245" s="2" t="s">
        <v>792</v>
      </c>
      <c r="F245" t="s">
        <v>18</v>
      </c>
      <c r="G245" t="s">
        <v>793</v>
      </c>
      <c r="H245" t="s">
        <v>794</v>
      </c>
      <c r="I245" t="s">
        <v>252</v>
      </c>
      <c r="J245" t="s">
        <v>22</v>
      </c>
      <c r="K245" t="s">
        <v>795</v>
      </c>
      <c r="L245">
        <v>1670310</v>
      </c>
      <c r="N245">
        <v>1670306</v>
      </c>
      <c r="O245">
        <v>1670318</v>
      </c>
      <c r="P245">
        <v>1670311</v>
      </c>
      <c r="Q245" t="s">
        <v>41</v>
      </c>
    </row>
    <row r="246" spans="1:18" x14ac:dyDescent="0.25">
      <c r="A246" t="s">
        <v>790</v>
      </c>
      <c r="B246" t="s">
        <v>791</v>
      </c>
      <c r="C246" t="s">
        <v>16</v>
      </c>
      <c r="D246" t="s">
        <v>791</v>
      </c>
      <c r="E246" s="2" t="s">
        <v>792</v>
      </c>
      <c r="F246" t="s">
        <v>18</v>
      </c>
      <c r="G246" t="s">
        <v>796</v>
      </c>
      <c r="H246" t="s">
        <v>797</v>
      </c>
      <c r="I246" t="s">
        <v>798</v>
      </c>
      <c r="J246" t="s">
        <v>22</v>
      </c>
      <c r="K246">
        <v>1670304</v>
      </c>
      <c r="L246">
        <v>1670310</v>
      </c>
      <c r="M246" t="s">
        <v>799</v>
      </c>
      <c r="N246">
        <v>1670305</v>
      </c>
      <c r="O246">
        <v>1670318</v>
      </c>
      <c r="P246">
        <v>1670311</v>
      </c>
      <c r="Q246" t="s">
        <v>84</v>
      </c>
    </row>
    <row r="247" spans="1:18" x14ac:dyDescent="0.25">
      <c r="A247" t="s">
        <v>800</v>
      </c>
      <c r="B247" t="s">
        <v>801</v>
      </c>
      <c r="C247" t="s">
        <v>16</v>
      </c>
      <c r="D247" t="s">
        <v>801</v>
      </c>
      <c r="E247" t="s">
        <v>802</v>
      </c>
      <c r="F247" t="s">
        <v>18</v>
      </c>
      <c r="G247" t="s">
        <v>803</v>
      </c>
      <c r="H247" t="s">
        <v>804</v>
      </c>
      <c r="I247" t="s">
        <v>805</v>
      </c>
      <c r="J247" t="s">
        <v>22</v>
      </c>
      <c r="K247">
        <v>1514</v>
      </c>
      <c r="M247" t="s">
        <v>563</v>
      </c>
      <c r="Q247" t="s">
        <v>84</v>
      </c>
      <c r="R247" t="str">
        <f>"https://rxnav.nlm.nih.gov/REST/brands?ingredientids="&amp;K247</f>
        <v>https://rxnav.nlm.nih.gov/REST/brands?ingredientids=1514</v>
      </c>
    </row>
    <row r="248" spans="1:18" x14ac:dyDescent="0.25">
      <c r="A248" t="s">
        <v>800</v>
      </c>
      <c r="B248" t="s">
        <v>801</v>
      </c>
      <c r="C248" t="s">
        <v>16</v>
      </c>
      <c r="D248" t="s">
        <v>801</v>
      </c>
      <c r="E248" t="s">
        <v>802</v>
      </c>
      <c r="F248" t="s">
        <v>18</v>
      </c>
      <c r="G248" t="s">
        <v>806</v>
      </c>
      <c r="H248" t="s">
        <v>807</v>
      </c>
      <c r="I248" t="s">
        <v>259</v>
      </c>
      <c r="J248" t="s">
        <v>22</v>
      </c>
      <c r="K248" t="s">
        <v>808</v>
      </c>
      <c r="Q248" t="s">
        <v>41</v>
      </c>
      <c r="R248" t="str">
        <f>R247&amp;"+"&amp;K248</f>
        <v>https://rxnav.nlm.nih.gov/REST/brands?ingredientids=1514+2623</v>
      </c>
    </row>
    <row r="249" spans="1:18" x14ac:dyDescent="0.25">
      <c r="A249" t="s">
        <v>809</v>
      </c>
      <c r="B249" t="s">
        <v>810</v>
      </c>
      <c r="C249" t="s">
        <v>16</v>
      </c>
      <c r="D249" t="s">
        <v>810</v>
      </c>
      <c r="E249" s="2" t="s">
        <v>811</v>
      </c>
      <c r="F249" t="s">
        <v>18</v>
      </c>
      <c r="G249" t="s">
        <v>812</v>
      </c>
      <c r="H249" t="s">
        <v>813</v>
      </c>
      <c r="I249" t="s">
        <v>127</v>
      </c>
      <c r="J249" t="s">
        <v>22</v>
      </c>
      <c r="K249">
        <v>3361</v>
      </c>
      <c r="M249" t="s">
        <v>814</v>
      </c>
    </row>
    <row r="250" spans="1:18" x14ac:dyDescent="0.25">
      <c r="A250" t="s">
        <v>809</v>
      </c>
      <c r="B250" t="s">
        <v>810</v>
      </c>
      <c r="C250" t="s">
        <v>16</v>
      </c>
      <c r="D250" t="s">
        <v>810</v>
      </c>
      <c r="E250" s="2" t="s">
        <v>811</v>
      </c>
      <c r="F250" t="s">
        <v>18</v>
      </c>
      <c r="G250" t="s">
        <v>815</v>
      </c>
      <c r="H250" t="s">
        <v>816</v>
      </c>
      <c r="I250" t="s">
        <v>21</v>
      </c>
      <c r="J250" t="s">
        <v>22</v>
      </c>
      <c r="K250">
        <v>612</v>
      </c>
      <c r="M250" t="s">
        <v>817</v>
      </c>
    </row>
    <row r="251" spans="1:18" x14ac:dyDescent="0.25">
      <c r="A251" t="s">
        <v>809</v>
      </c>
      <c r="B251" t="s">
        <v>810</v>
      </c>
      <c r="C251" t="s">
        <v>16</v>
      </c>
      <c r="D251" t="s">
        <v>810</v>
      </c>
      <c r="E251" s="2" t="s">
        <v>811</v>
      </c>
      <c r="F251" t="s">
        <v>18</v>
      </c>
      <c r="G251" t="s">
        <v>818</v>
      </c>
      <c r="H251" t="s">
        <v>819</v>
      </c>
      <c r="I251" t="s">
        <v>265</v>
      </c>
      <c r="J251" t="s">
        <v>22</v>
      </c>
      <c r="K251" t="s">
        <v>820</v>
      </c>
      <c r="Q251" t="s">
        <v>41</v>
      </c>
    </row>
    <row r="252" spans="1:18" x14ac:dyDescent="0.25">
      <c r="A252" t="s">
        <v>821</v>
      </c>
      <c r="B252" t="s">
        <v>822</v>
      </c>
      <c r="C252" t="s">
        <v>823</v>
      </c>
      <c r="D252" t="s">
        <v>822</v>
      </c>
      <c r="E252" t="s">
        <v>823</v>
      </c>
      <c r="F252" t="s">
        <v>18</v>
      </c>
      <c r="G252" t="s">
        <v>824</v>
      </c>
      <c r="H252" t="s">
        <v>825</v>
      </c>
      <c r="I252" t="s">
        <v>826</v>
      </c>
      <c r="J252" t="s">
        <v>22</v>
      </c>
    </row>
    <row r="253" spans="1:18" x14ac:dyDescent="0.25">
      <c r="A253" t="s">
        <v>821</v>
      </c>
      <c r="B253" t="s">
        <v>822</v>
      </c>
      <c r="C253" t="s">
        <v>823</v>
      </c>
      <c r="D253" t="s">
        <v>822</v>
      </c>
      <c r="E253" t="s">
        <v>823</v>
      </c>
      <c r="F253" t="s">
        <v>18</v>
      </c>
      <c r="G253" t="s">
        <v>827</v>
      </c>
      <c r="H253" t="s">
        <v>828</v>
      </c>
      <c r="I253" t="s">
        <v>829</v>
      </c>
      <c r="J253" t="s">
        <v>22</v>
      </c>
    </row>
    <row r="254" spans="1:18" x14ac:dyDescent="0.25">
      <c r="A254" t="s">
        <v>821</v>
      </c>
      <c r="B254" t="s">
        <v>822</v>
      </c>
      <c r="C254" t="s">
        <v>823</v>
      </c>
      <c r="D254" t="s">
        <v>822</v>
      </c>
      <c r="E254" t="s">
        <v>823</v>
      </c>
      <c r="F254" t="s">
        <v>18</v>
      </c>
      <c r="G254" t="s">
        <v>830</v>
      </c>
      <c r="H254" t="s">
        <v>831</v>
      </c>
      <c r="I254" t="s">
        <v>832</v>
      </c>
      <c r="J254" t="s">
        <v>22</v>
      </c>
    </row>
    <row r="255" spans="1:18" x14ac:dyDescent="0.25">
      <c r="A255" t="s">
        <v>821</v>
      </c>
      <c r="B255" t="s">
        <v>822</v>
      </c>
      <c r="C255" t="s">
        <v>823</v>
      </c>
      <c r="D255" t="s">
        <v>822</v>
      </c>
      <c r="E255" t="s">
        <v>823</v>
      </c>
      <c r="F255" t="s">
        <v>18</v>
      </c>
      <c r="G255" t="s">
        <v>833</v>
      </c>
      <c r="H255" t="s">
        <v>834</v>
      </c>
      <c r="I255" t="s">
        <v>835</v>
      </c>
      <c r="J255" t="s">
        <v>22</v>
      </c>
    </row>
    <row r="256" spans="1:18" x14ac:dyDescent="0.25">
      <c r="A256" t="s">
        <v>821</v>
      </c>
      <c r="B256" t="s">
        <v>822</v>
      </c>
      <c r="C256" t="s">
        <v>823</v>
      </c>
      <c r="D256" t="s">
        <v>822</v>
      </c>
      <c r="E256" t="s">
        <v>823</v>
      </c>
      <c r="F256" t="s">
        <v>18</v>
      </c>
      <c r="G256" t="s">
        <v>836</v>
      </c>
      <c r="H256" t="s">
        <v>837</v>
      </c>
      <c r="I256" t="s">
        <v>838</v>
      </c>
      <c r="J256" t="s">
        <v>22</v>
      </c>
    </row>
    <row r="257" spans="1:18" x14ac:dyDescent="0.25">
      <c r="A257" t="s">
        <v>821</v>
      </c>
      <c r="B257" t="s">
        <v>822</v>
      </c>
      <c r="C257" t="s">
        <v>823</v>
      </c>
      <c r="D257" t="s">
        <v>822</v>
      </c>
      <c r="E257" t="s">
        <v>823</v>
      </c>
      <c r="F257" t="s">
        <v>18</v>
      </c>
      <c r="G257" t="s">
        <v>839</v>
      </c>
      <c r="H257" t="s">
        <v>840</v>
      </c>
      <c r="I257" t="s">
        <v>841</v>
      </c>
      <c r="J257" t="s">
        <v>22</v>
      </c>
      <c r="K257">
        <v>6536</v>
      </c>
      <c r="M257">
        <v>6537</v>
      </c>
    </row>
    <row r="258" spans="1:18" x14ac:dyDescent="0.25">
      <c r="A258" t="s">
        <v>821</v>
      </c>
      <c r="B258" t="s">
        <v>822</v>
      </c>
      <c r="C258" t="s">
        <v>823</v>
      </c>
      <c r="D258" t="s">
        <v>822</v>
      </c>
      <c r="E258" t="s">
        <v>823</v>
      </c>
      <c r="F258" t="s">
        <v>18</v>
      </c>
      <c r="G258" t="s">
        <v>118</v>
      </c>
      <c r="H258" t="s">
        <v>119</v>
      </c>
      <c r="I258" t="s">
        <v>842</v>
      </c>
      <c r="J258" t="s">
        <v>22</v>
      </c>
      <c r="K258" t="s">
        <v>121</v>
      </c>
    </row>
    <row r="259" spans="1:18" x14ac:dyDescent="0.25">
      <c r="A259" t="s">
        <v>821</v>
      </c>
      <c r="B259" t="s">
        <v>822</v>
      </c>
      <c r="C259" t="s">
        <v>823</v>
      </c>
      <c r="D259" t="s">
        <v>822</v>
      </c>
      <c r="E259" t="s">
        <v>823</v>
      </c>
      <c r="F259" t="s">
        <v>18</v>
      </c>
      <c r="G259" t="s">
        <v>72</v>
      </c>
      <c r="H259" t="s">
        <v>73</v>
      </c>
      <c r="I259" t="s">
        <v>843</v>
      </c>
      <c r="J259" t="s">
        <v>22</v>
      </c>
      <c r="K259" t="s">
        <v>75</v>
      </c>
    </row>
    <row r="260" spans="1:18" x14ac:dyDescent="0.25">
      <c r="A260" t="s">
        <v>821</v>
      </c>
      <c r="B260" t="s">
        <v>822</v>
      </c>
      <c r="C260" t="s">
        <v>823</v>
      </c>
      <c r="D260" t="s">
        <v>822</v>
      </c>
      <c r="E260" t="s">
        <v>823</v>
      </c>
      <c r="F260" t="s">
        <v>18</v>
      </c>
      <c r="G260" t="s">
        <v>114</v>
      </c>
      <c r="H260" t="s">
        <v>115</v>
      </c>
      <c r="I260" t="s">
        <v>844</v>
      </c>
      <c r="J260" t="s">
        <v>22</v>
      </c>
      <c r="K260" t="s">
        <v>117</v>
      </c>
    </row>
    <row r="261" spans="1:18" x14ac:dyDescent="0.25">
      <c r="A261" t="s">
        <v>821</v>
      </c>
      <c r="B261" t="s">
        <v>822</v>
      </c>
      <c r="C261" t="s">
        <v>823</v>
      </c>
      <c r="D261" t="s">
        <v>822</v>
      </c>
      <c r="E261" t="s">
        <v>823</v>
      </c>
      <c r="F261" t="s">
        <v>18</v>
      </c>
      <c r="G261" t="s">
        <v>68</v>
      </c>
      <c r="H261" t="s">
        <v>69</v>
      </c>
      <c r="I261" t="s">
        <v>566</v>
      </c>
      <c r="J261" t="s">
        <v>22</v>
      </c>
      <c r="K261" t="s">
        <v>71</v>
      </c>
    </row>
    <row r="262" spans="1:18" x14ac:dyDescent="0.25">
      <c r="A262" t="s">
        <v>845</v>
      </c>
      <c r="B262" t="s">
        <v>846</v>
      </c>
      <c r="C262" t="s">
        <v>16</v>
      </c>
      <c r="D262" t="s">
        <v>846</v>
      </c>
      <c r="E262" s="2" t="s">
        <v>847</v>
      </c>
      <c r="F262" t="s">
        <v>18</v>
      </c>
      <c r="G262" t="s">
        <v>848</v>
      </c>
      <c r="H262" t="s">
        <v>849</v>
      </c>
      <c r="I262" t="s">
        <v>221</v>
      </c>
      <c r="J262" t="s">
        <v>22</v>
      </c>
      <c r="K262" t="s">
        <v>850</v>
      </c>
      <c r="Q262" t="s">
        <v>84</v>
      </c>
      <c r="R262" t="str">
        <f>"https://rxnav.nlm.nih.gov/REST/brands?ingredientids="&amp;K262</f>
        <v>https://rxnav.nlm.nih.gov/REST/brands?ingredientids=6902</v>
      </c>
    </row>
    <row r="263" spans="1:18" x14ac:dyDescent="0.25">
      <c r="A263" t="s">
        <v>845</v>
      </c>
      <c r="B263" t="s">
        <v>846</v>
      </c>
      <c r="C263" t="s">
        <v>16</v>
      </c>
      <c r="D263" t="s">
        <v>846</v>
      </c>
      <c r="E263" s="2" t="s">
        <v>847</v>
      </c>
      <c r="F263" t="s">
        <v>18</v>
      </c>
      <c r="G263" t="s">
        <v>318</v>
      </c>
      <c r="H263" t="s">
        <v>319</v>
      </c>
      <c r="I263" t="s">
        <v>197</v>
      </c>
      <c r="J263" t="s">
        <v>22</v>
      </c>
      <c r="K263" t="s">
        <v>320</v>
      </c>
      <c r="R263" t="str">
        <f>R262&amp;"+"&amp;K263</f>
        <v>https://rxnav.nlm.nih.gov/REST/brands?ingredientids=6902+1925821</v>
      </c>
    </row>
    <row r="264" spans="1:18" x14ac:dyDescent="0.25">
      <c r="A264" t="s">
        <v>851</v>
      </c>
      <c r="B264" t="s">
        <v>852</v>
      </c>
      <c r="C264" t="s">
        <v>16</v>
      </c>
      <c r="D264" t="s">
        <v>852</v>
      </c>
      <c r="E264" t="s">
        <v>853</v>
      </c>
      <c r="F264" t="s">
        <v>18</v>
      </c>
      <c r="G264" t="s">
        <v>470</v>
      </c>
      <c r="H264" t="s">
        <v>471</v>
      </c>
      <c r="I264" t="s">
        <v>491</v>
      </c>
      <c r="J264" t="s">
        <v>22</v>
      </c>
      <c r="K264">
        <v>4083</v>
      </c>
      <c r="L264">
        <v>636632</v>
      </c>
      <c r="M264" t="s">
        <v>472</v>
      </c>
      <c r="Q264" t="s">
        <v>84</v>
      </c>
    </row>
    <row r="265" spans="1:18" x14ac:dyDescent="0.25">
      <c r="A265" t="s">
        <v>851</v>
      </c>
      <c r="B265" t="s">
        <v>852</v>
      </c>
      <c r="C265" t="s">
        <v>16</v>
      </c>
      <c r="D265" t="s">
        <v>852</v>
      </c>
      <c r="E265" t="s">
        <v>853</v>
      </c>
      <c r="F265" t="s">
        <v>18</v>
      </c>
      <c r="G265" t="s">
        <v>473</v>
      </c>
      <c r="H265" t="s">
        <v>474</v>
      </c>
      <c r="I265" t="s">
        <v>259</v>
      </c>
      <c r="J265" t="s">
        <v>22</v>
      </c>
      <c r="K265">
        <v>6691</v>
      </c>
      <c r="L265">
        <v>636632</v>
      </c>
      <c r="M265" t="s">
        <v>475</v>
      </c>
      <c r="Q265" t="s">
        <v>84</v>
      </c>
    </row>
    <row r="266" spans="1:18" x14ac:dyDescent="0.25">
      <c r="A266" t="s">
        <v>854</v>
      </c>
      <c r="B266" t="s">
        <v>855</v>
      </c>
      <c r="C266" t="s">
        <v>16</v>
      </c>
      <c r="D266" t="s">
        <v>855</v>
      </c>
      <c r="E266" s="2" t="s">
        <v>856</v>
      </c>
      <c r="F266" t="s">
        <v>18</v>
      </c>
      <c r="G266" t="s">
        <v>1409</v>
      </c>
      <c r="H266" t="s">
        <v>857</v>
      </c>
      <c r="I266" t="s">
        <v>858</v>
      </c>
      <c r="J266" t="s">
        <v>22</v>
      </c>
      <c r="K266">
        <v>4495</v>
      </c>
      <c r="M266">
        <v>235742</v>
      </c>
    </row>
    <row r="267" spans="1:18" x14ac:dyDescent="0.25">
      <c r="A267" t="s">
        <v>854</v>
      </c>
      <c r="B267" t="s">
        <v>855</v>
      </c>
      <c r="C267" t="s">
        <v>16</v>
      </c>
      <c r="D267" t="s">
        <v>855</v>
      </c>
      <c r="E267" s="2" t="s">
        <v>856</v>
      </c>
      <c r="F267" t="s">
        <v>18</v>
      </c>
      <c r="G267" t="s">
        <v>1410</v>
      </c>
      <c r="H267" t="s">
        <v>859</v>
      </c>
      <c r="I267" t="s">
        <v>860</v>
      </c>
      <c r="J267" t="s">
        <v>22</v>
      </c>
      <c r="K267">
        <v>446248</v>
      </c>
    </row>
    <row r="268" spans="1:18" x14ac:dyDescent="0.25">
      <c r="A268" t="s">
        <v>861</v>
      </c>
      <c r="B268" t="s">
        <v>862</v>
      </c>
      <c r="C268" t="s">
        <v>863</v>
      </c>
      <c r="D268" t="s">
        <v>862</v>
      </c>
      <c r="E268" t="s">
        <v>863</v>
      </c>
      <c r="F268" t="s">
        <v>18</v>
      </c>
      <c r="G268" t="s">
        <v>1380</v>
      </c>
      <c r="H268" t="s">
        <v>220</v>
      </c>
      <c r="I268" t="s">
        <v>21</v>
      </c>
      <c r="J268" t="s">
        <v>22</v>
      </c>
      <c r="K268">
        <v>5031</v>
      </c>
    </row>
    <row r="269" spans="1:18" x14ac:dyDescent="0.25">
      <c r="A269" t="s">
        <v>861</v>
      </c>
      <c r="B269" t="s">
        <v>862</v>
      </c>
      <c r="C269" t="s">
        <v>863</v>
      </c>
      <c r="D269" t="s">
        <v>862</v>
      </c>
      <c r="E269" t="s">
        <v>863</v>
      </c>
      <c r="F269" t="s">
        <v>18</v>
      </c>
      <c r="G269" t="s">
        <v>596</v>
      </c>
      <c r="H269" t="s">
        <v>597</v>
      </c>
      <c r="I269" t="s">
        <v>566</v>
      </c>
      <c r="J269" t="s">
        <v>22</v>
      </c>
      <c r="K269">
        <v>3289</v>
      </c>
      <c r="M269" t="s">
        <v>598</v>
      </c>
    </row>
    <row r="270" spans="1:18" x14ac:dyDescent="0.25">
      <c r="A270" t="s">
        <v>864</v>
      </c>
      <c r="B270" t="s">
        <v>865</v>
      </c>
      <c r="C270" t="s">
        <v>16</v>
      </c>
      <c r="D270" t="s">
        <v>865</v>
      </c>
      <c r="E270" s="2" t="s">
        <v>866</v>
      </c>
      <c r="F270" t="s">
        <v>18</v>
      </c>
      <c r="G270" t="s">
        <v>867</v>
      </c>
      <c r="H270" t="s">
        <v>868</v>
      </c>
      <c r="I270" t="s">
        <v>869</v>
      </c>
      <c r="J270" t="s">
        <v>22</v>
      </c>
      <c r="K270">
        <v>54993</v>
      </c>
      <c r="L270">
        <v>214427</v>
      </c>
      <c r="M270" t="s">
        <v>870</v>
      </c>
    </row>
    <row r="271" spans="1:18" x14ac:dyDescent="0.25">
      <c r="A271" t="s">
        <v>864</v>
      </c>
      <c r="B271" t="s">
        <v>865</v>
      </c>
      <c r="C271" t="s">
        <v>16</v>
      </c>
      <c r="D271" t="s">
        <v>865</v>
      </c>
      <c r="E271" s="2" t="s">
        <v>866</v>
      </c>
      <c r="F271" t="s">
        <v>18</v>
      </c>
      <c r="G271" t="s">
        <v>871</v>
      </c>
      <c r="H271" t="s">
        <v>872</v>
      </c>
      <c r="I271" t="s">
        <v>873</v>
      </c>
      <c r="J271" t="s">
        <v>22</v>
      </c>
      <c r="K271">
        <v>21183</v>
      </c>
      <c r="L271">
        <v>214427</v>
      </c>
      <c r="M271" t="s">
        <v>874</v>
      </c>
      <c r="Q271" t="s">
        <v>84</v>
      </c>
    </row>
    <row r="272" spans="1:18" x14ac:dyDescent="0.25">
      <c r="A272" t="s">
        <v>875</v>
      </c>
      <c r="B272" t="s">
        <v>876</v>
      </c>
      <c r="C272" t="s">
        <v>16</v>
      </c>
      <c r="D272" t="s">
        <v>876</v>
      </c>
      <c r="E272" t="s">
        <v>877</v>
      </c>
      <c r="F272" t="s">
        <v>18</v>
      </c>
      <c r="G272" t="s">
        <v>878</v>
      </c>
      <c r="H272" t="s">
        <v>879</v>
      </c>
      <c r="I272" t="s">
        <v>153</v>
      </c>
      <c r="J272" t="s">
        <v>22</v>
      </c>
      <c r="K272">
        <v>52175</v>
      </c>
      <c r="L272">
        <v>214619</v>
      </c>
      <c r="M272" t="s">
        <v>880</v>
      </c>
      <c r="N272">
        <v>979467</v>
      </c>
      <c r="P272">
        <v>979468</v>
      </c>
      <c r="Q272" t="s">
        <v>84</v>
      </c>
    </row>
    <row r="273" spans="1:17" x14ac:dyDescent="0.25">
      <c r="A273" t="s">
        <v>875</v>
      </c>
      <c r="B273" t="s">
        <v>876</v>
      </c>
      <c r="C273" t="s">
        <v>16</v>
      </c>
      <c r="D273" t="s">
        <v>876</v>
      </c>
      <c r="E273" t="s">
        <v>877</v>
      </c>
      <c r="F273" t="s">
        <v>18</v>
      </c>
      <c r="G273" t="s">
        <v>881</v>
      </c>
      <c r="H273" t="s">
        <v>882</v>
      </c>
      <c r="I273" t="s">
        <v>883</v>
      </c>
      <c r="J273" t="s">
        <v>22</v>
      </c>
      <c r="K273" t="s">
        <v>884</v>
      </c>
      <c r="L273">
        <v>214619</v>
      </c>
      <c r="N273">
        <v>316047</v>
      </c>
      <c r="P273">
        <v>979468</v>
      </c>
      <c r="Q273" t="s">
        <v>41</v>
      </c>
    </row>
    <row r="274" spans="1:17" x14ac:dyDescent="0.25">
      <c r="A274" t="s">
        <v>885</v>
      </c>
      <c r="B274" t="s">
        <v>886</v>
      </c>
      <c r="C274" t="s">
        <v>16</v>
      </c>
      <c r="D274" t="s">
        <v>886</v>
      </c>
      <c r="E274" t="s">
        <v>887</v>
      </c>
      <c r="F274" t="s">
        <v>18</v>
      </c>
      <c r="G274" t="s">
        <v>888</v>
      </c>
      <c r="H274" t="s">
        <v>889</v>
      </c>
      <c r="I274" t="s">
        <v>890</v>
      </c>
      <c r="J274" t="s">
        <v>39</v>
      </c>
      <c r="K274">
        <v>1487514</v>
      </c>
      <c r="L274">
        <v>1487518</v>
      </c>
      <c r="M274">
        <v>1487512</v>
      </c>
      <c r="N274">
        <v>1487515</v>
      </c>
      <c r="O274">
        <v>1487521</v>
      </c>
      <c r="P274">
        <v>1487527</v>
      </c>
    </row>
    <row r="275" spans="1:17" x14ac:dyDescent="0.25">
      <c r="A275" t="s">
        <v>885</v>
      </c>
      <c r="B275" t="s">
        <v>886</v>
      </c>
      <c r="C275" t="s">
        <v>16</v>
      </c>
      <c r="D275" t="s">
        <v>886</v>
      </c>
      <c r="E275" t="s">
        <v>887</v>
      </c>
      <c r="F275" t="s">
        <v>18</v>
      </c>
      <c r="G275" t="s">
        <v>591</v>
      </c>
      <c r="H275" t="s">
        <v>592</v>
      </c>
      <c r="I275" t="s">
        <v>307</v>
      </c>
      <c r="J275" t="s">
        <v>39</v>
      </c>
      <c r="K275">
        <v>1424884</v>
      </c>
      <c r="L275">
        <v>1487518</v>
      </c>
      <c r="M275">
        <v>1424883</v>
      </c>
      <c r="N275">
        <v>1424885</v>
      </c>
      <c r="O275">
        <v>1487521</v>
      </c>
      <c r="P275">
        <v>1487527</v>
      </c>
    </row>
    <row r="276" spans="1:17" x14ac:dyDescent="0.25">
      <c r="A276" t="s">
        <v>891</v>
      </c>
      <c r="B276" t="s">
        <v>892</v>
      </c>
      <c r="C276" t="s">
        <v>16</v>
      </c>
      <c r="D276" t="s">
        <v>892</v>
      </c>
      <c r="E276" t="s">
        <v>893</v>
      </c>
      <c r="F276" t="s">
        <v>18</v>
      </c>
      <c r="G276" t="s">
        <v>894</v>
      </c>
      <c r="H276" t="s">
        <v>895</v>
      </c>
      <c r="I276" t="s">
        <v>358</v>
      </c>
      <c r="J276" t="s">
        <v>52</v>
      </c>
      <c r="K276">
        <v>733</v>
      </c>
      <c r="L276">
        <v>1009148</v>
      </c>
      <c r="M276" t="s">
        <v>582</v>
      </c>
    </row>
    <row r="277" spans="1:17" x14ac:dyDescent="0.25">
      <c r="A277" t="s">
        <v>891</v>
      </c>
      <c r="B277" t="s">
        <v>892</v>
      </c>
      <c r="C277" t="s">
        <v>16</v>
      </c>
      <c r="D277" t="s">
        <v>892</v>
      </c>
      <c r="E277" t="s">
        <v>893</v>
      </c>
      <c r="F277" t="s">
        <v>18</v>
      </c>
      <c r="G277" t="s">
        <v>896</v>
      </c>
      <c r="H277" t="s">
        <v>897</v>
      </c>
      <c r="I277" t="s">
        <v>495</v>
      </c>
      <c r="J277" t="s">
        <v>52</v>
      </c>
      <c r="K277">
        <v>10167</v>
      </c>
      <c r="L277">
        <v>1009148</v>
      </c>
      <c r="M277" t="s">
        <v>585</v>
      </c>
    </row>
    <row r="278" spans="1:17" x14ac:dyDescent="0.25">
      <c r="A278" t="s">
        <v>891</v>
      </c>
      <c r="B278" t="s">
        <v>892</v>
      </c>
      <c r="C278" t="s">
        <v>16</v>
      </c>
      <c r="D278" t="s">
        <v>892</v>
      </c>
      <c r="E278" t="s">
        <v>893</v>
      </c>
      <c r="F278" t="s">
        <v>18</v>
      </c>
      <c r="G278" t="s">
        <v>894</v>
      </c>
      <c r="H278" t="s">
        <v>895</v>
      </c>
      <c r="I278" t="s">
        <v>194</v>
      </c>
      <c r="J278" t="s">
        <v>52</v>
      </c>
      <c r="K278">
        <v>733</v>
      </c>
      <c r="L278">
        <v>1009148</v>
      </c>
      <c r="M278" t="s">
        <v>582</v>
      </c>
      <c r="N278">
        <v>328307</v>
      </c>
      <c r="P278">
        <v>1659592</v>
      </c>
    </row>
    <row r="279" spans="1:17" x14ac:dyDescent="0.25">
      <c r="A279" t="s">
        <v>891</v>
      </c>
      <c r="B279" t="s">
        <v>892</v>
      </c>
      <c r="C279" t="s">
        <v>16</v>
      </c>
      <c r="D279" t="s">
        <v>892</v>
      </c>
      <c r="E279" t="s">
        <v>893</v>
      </c>
      <c r="F279" t="s">
        <v>18</v>
      </c>
      <c r="G279" t="s">
        <v>896</v>
      </c>
      <c r="H279" t="s">
        <v>897</v>
      </c>
      <c r="I279" t="s">
        <v>358</v>
      </c>
      <c r="J279" t="s">
        <v>52</v>
      </c>
      <c r="K279">
        <v>10167</v>
      </c>
      <c r="L279">
        <v>1009148</v>
      </c>
      <c r="M279" t="s">
        <v>585</v>
      </c>
      <c r="N279">
        <v>328312</v>
      </c>
      <c r="P279">
        <v>1659592</v>
      </c>
    </row>
    <row r="280" spans="1:17" x14ac:dyDescent="0.25">
      <c r="A280" t="s">
        <v>891</v>
      </c>
      <c r="B280" t="s">
        <v>892</v>
      </c>
      <c r="C280" t="s">
        <v>16</v>
      </c>
      <c r="D280" t="s">
        <v>892</v>
      </c>
      <c r="E280" t="s">
        <v>893</v>
      </c>
      <c r="F280" t="s">
        <v>18</v>
      </c>
      <c r="G280" t="s">
        <v>894</v>
      </c>
      <c r="H280" t="s">
        <v>895</v>
      </c>
      <c r="I280" t="s">
        <v>491</v>
      </c>
      <c r="J280" t="s">
        <v>52</v>
      </c>
      <c r="K280">
        <v>733</v>
      </c>
      <c r="L280">
        <v>1009148</v>
      </c>
      <c r="M280" t="s">
        <v>582</v>
      </c>
      <c r="N280">
        <v>1659596</v>
      </c>
      <c r="P280">
        <v>1659598</v>
      </c>
    </row>
    <row r="281" spans="1:17" x14ac:dyDescent="0.25">
      <c r="A281" t="s">
        <v>891</v>
      </c>
      <c r="B281" t="s">
        <v>892</v>
      </c>
      <c r="C281" t="s">
        <v>16</v>
      </c>
      <c r="D281" t="s">
        <v>892</v>
      </c>
      <c r="E281" t="s">
        <v>893</v>
      </c>
      <c r="F281" t="s">
        <v>18</v>
      </c>
      <c r="G281" t="s">
        <v>896</v>
      </c>
      <c r="H281" t="s">
        <v>897</v>
      </c>
      <c r="I281" t="s">
        <v>194</v>
      </c>
      <c r="J281" t="s">
        <v>52</v>
      </c>
      <c r="K281">
        <v>10167</v>
      </c>
      <c r="L281">
        <v>1009148</v>
      </c>
      <c r="M281" t="s">
        <v>585</v>
      </c>
      <c r="N281">
        <v>1659597</v>
      </c>
      <c r="P281">
        <v>1659598</v>
      </c>
    </row>
    <row r="282" spans="1:17" x14ac:dyDescent="0.25">
      <c r="A282" t="s">
        <v>898</v>
      </c>
      <c r="B282" t="s">
        <v>899</v>
      </c>
      <c r="C282" t="s">
        <v>16</v>
      </c>
      <c r="D282" t="s">
        <v>899</v>
      </c>
      <c r="E282" s="2" t="s">
        <v>900</v>
      </c>
      <c r="F282" t="s">
        <v>18</v>
      </c>
      <c r="G282" t="s">
        <v>901</v>
      </c>
      <c r="H282" t="s">
        <v>902</v>
      </c>
      <c r="I282" t="s">
        <v>903</v>
      </c>
      <c r="J282" t="s">
        <v>22</v>
      </c>
      <c r="K282">
        <v>60207</v>
      </c>
      <c r="L282">
        <v>662263</v>
      </c>
      <c r="M282" t="s">
        <v>904</v>
      </c>
      <c r="N282">
        <v>328229</v>
      </c>
      <c r="P282">
        <v>1923432</v>
      </c>
      <c r="Q282" t="s">
        <v>84</v>
      </c>
    </row>
    <row r="283" spans="1:17" x14ac:dyDescent="0.25">
      <c r="A283" t="s">
        <v>898</v>
      </c>
      <c r="B283" t="s">
        <v>899</v>
      </c>
      <c r="C283" t="s">
        <v>16</v>
      </c>
      <c r="D283" t="s">
        <v>899</v>
      </c>
      <c r="E283" s="2" t="s">
        <v>900</v>
      </c>
      <c r="F283" t="s">
        <v>18</v>
      </c>
      <c r="G283" t="s">
        <v>621</v>
      </c>
      <c r="H283" t="s">
        <v>622</v>
      </c>
      <c r="I283" t="s">
        <v>905</v>
      </c>
      <c r="J283" t="s">
        <v>22</v>
      </c>
      <c r="K283">
        <v>10600</v>
      </c>
      <c r="L283">
        <v>662263</v>
      </c>
      <c r="M283" t="s">
        <v>624</v>
      </c>
      <c r="N283">
        <v>328742</v>
      </c>
      <c r="P283">
        <v>1923432</v>
      </c>
      <c r="Q283" t="s">
        <v>84</v>
      </c>
    </row>
    <row r="284" spans="1:17" x14ac:dyDescent="0.25">
      <c r="A284" t="s">
        <v>906</v>
      </c>
      <c r="B284" t="s">
        <v>907</v>
      </c>
      <c r="C284" t="s">
        <v>16</v>
      </c>
      <c r="D284" t="s">
        <v>907</v>
      </c>
      <c r="E284" t="s">
        <v>908</v>
      </c>
      <c r="F284" t="s">
        <v>18</v>
      </c>
      <c r="G284" t="s">
        <v>909</v>
      </c>
      <c r="H284" t="s">
        <v>910</v>
      </c>
      <c r="I284" t="s">
        <v>911</v>
      </c>
      <c r="J284" t="s">
        <v>22</v>
      </c>
      <c r="K284" t="s">
        <v>912</v>
      </c>
      <c r="Q284" t="s">
        <v>41</v>
      </c>
    </row>
    <row r="285" spans="1:17" x14ac:dyDescent="0.25">
      <c r="A285" t="s">
        <v>906</v>
      </c>
      <c r="B285" t="s">
        <v>907</v>
      </c>
      <c r="C285" t="s">
        <v>16</v>
      </c>
      <c r="D285" t="s">
        <v>907</v>
      </c>
      <c r="E285" t="s">
        <v>908</v>
      </c>
      <c r="F285" t="s">
        <v>18</v>
      </c>
      <c r="G285" t="s">
        <v>913</v>
      </c>
      <c r="H285" t="s">
        <v>914</v>
      </c>
      <c r="I285" t="s">
        <v>221</v>
      </c>
      <c r="J285" t="s">
        <v>22</v>
      </c>
      <c r="K285" t="s">
        <v>915</v>
      </c>
      <c r="M285" t="s">
        <v>624</v>
      </c>
      <c r="Q285" t="s">
        <v>84</v>
      </c>
    </row>
    <row r="286" spans="1:17" x14ac:dyDescent="0.25">
      <c r="A286" t="s">
        <v>916</v>
      </c>
      <c r="B286" t="s">
        <v>917</v>
      </c>
      <c r="C286" t="s">
        <v>16</v>
      </c>
      <c r="D286" t="s">
        <v>917</v>
      </c>
      <c r="E286" s="2" t="s">
        <v>918</v>
      </c>
      <c r="F286" t="s">
        <v>18</v>
      </c>
      <c r="G286" t="s">
        <v>919</v>
      </c>
      <c r="H286" t="s">
        <v>920</v>
      </c>
      <c r="I286" t="s">
        <v>265</v>
      </c>
      <c r="J286" t="s">
        <v>22</v>
      </c>
      <c r="K286" t="s">
        <v>921</v>
      </c>
      <c r="L286">
        <v>2055808</v>
      </c>
      <c r="N286">
        <v>2055756</v>
      </c>
      <c r="O286">
        <v>2055814</v>
      </c>
      <c r="P286">
        <v>2055813</v>
      </c>
      <c r="Q286" t="s">
        <v>41</v>
      </c>
    </row>
    <row r="287" spans="1:17" x14ac:dyDescent="0.25">
      <c r="A287" t="s">
        <v>916</v>
      </c>
      <c r="B287" t="s">
        <v>917</v>
      </c>
      <c r="C287" t="s">
        <v>16</v>
      </c>
      <c r="D287" t="s">
        <v>917</v>
      </c>
      <c r="E287" s="2" t="s">
        <v>918</v>
      </c>
      <c r="F287" t="s">
        <v>18</v>
      </c>
      <c r="G287" t="s">
        <v>922</v>
      </c>
      <c r="H287" t="s">
        <v>923</v>
      </c>
      <c r="I287" t="s">
        <v>275</v>
      </c>
      <c r="J287" t="s">
        <v>22</v>
      </c>
      <c r="K287" t="s">
        <v>924</v>
      </c>
      <c r="L287">
        <v>2055808</v>
      </c>
      <c r="N287">
        <v>350655</v>
      </c>
      <c r="O287">
        <v>2055814</v>
      </c>
      <c r="P287">
        <v>2055813</v>
      </c>
      <c r="Q287" t="s">
        <v>41</v>
      </c>
    </row>
    <row r="288" spans="1:17" x14ac:dyDescent="0.25">
      <c r="A288" t="s">
        <v>916</v>
      </c>
      <c r="B288" t="s">
        <v>917</v>
      </c>
      <c r="C288" t="s">
        <v>16</v>
      </c>
      <c r="D288" t="s">
        <v>917</v>
      </c>
      <c r="E288" s="2" t="s">
        <v>918</v>
      </c>
      <c r="F288" t="s">
        <v>18</v>
      </c>
      <c r="G288" t="s">
        <v>925</v>
      </c>
      <c r="H288" t="s">
        <v>926</v>
      </c>
      <c r="I288" t="s">
        <v>275</v>
      </c>
      <c r="J288" t="s">
        <v>22</v>
      </c>
      <c r="K288">
        <v>300195</v>
      </c>
      <c r="L288">
        <v>2055808</v>
      </c>
      <c r="M288" t="s">
        <v>927</v>
      </c>
      <c r="N288">
        <v>393334</v>
      </c>
      <c r="O288">
        <v>2055814</v>
      </c>
      <c r="P288">
        <v>2055813</v>
      </c>
      <c r="Q288" t="s">
        <v>84</v>
      </c>
    </row>
    <row r="289" spans="1:17" x14ac:dyDescent="0.25">
      <c r="A289" t="s">
        <v>928</v>
      </c>
      <c r="B289" t="s">
        <v>929</v>
      </c>
      <c r="C289" t="s">
        <v>16</v>
      </c>
      <c r="D289" t="s">
        <v>929</v>
      </c>
      <c r="E289" t="s">
        <v>930</v>
      </c>
      <c r="F289" t="s">
        <v>18</v>
      </c>
      <c r="G289" t="s">
        <v>922</v>
      </c>
      <c r="H289" t="s">
        <v>923</v>
      </c>
      <c r="I289" t="s">
        <v>275</v>
      </c>
      <c r="J289" t="s">
        <v>22</v>
      </c>
      <c r="K289" t="s">
        <v>924</v>
      </c>
      <c r="L289">
        <v>2122518</v>
      </c>
      <c r="N289">
        <v>350655</v>
      </c>
      <c r="O289">
        <v>2122522</v>
      </c>
      <c r="P289">
        <v>2122519</v>
      </c>
      <c r="Q289" t="s">
        <v>41</v>
      </c>
    </row>
    <row r="290" spans="1:17" x14ac:dyDescent="0.25">
      <c r="A290" t="s">
        <v>928</v>
      </c>
      <c r="B290" t="s">
        <v>929</v>
      </c>
      <c r="C290" t="s">
        <v>16</v>
      </c>
      <c r="D290" t="s">
        <v>929</v>
      </c>
      <c r="E290" t="s">
        <v>930</v>
      </c>
      <c r="F290" t="s">
        <v>18</v>
      </c>
      <c r="G290" t="s">
        <v>931</v>
      </c>
      <c r="H290" t="s">
        <v>932</v>
      </c>
      <c r="I290" t="s">
        <v>933</v>
      </c>
      <c r="J290" t="s">
        <v>22</v>
      </c>
      <c r="K290">
        <v>1433868</v>
      </c>
      <c r="L290">
        <v>2122518</v>
      </c>
      <c r="M290" t="s">
        <v>934</v>
      </c>
      <c r="N290">
        <v>1433869</v>
      </c>
      <c r="O290">
        <v>2122522</v>
      </c>
      <c r="P290">
        <v>2122519</v>
      </c>
      <c r="Q290" t="s">
        <v>84</v>
      </c>
    </row>
    <row r="291" spans="1:17" x14ac:dyDescent="0.25">
      <c r="A291" t="s">
        <v>935</v>
      </c>
      <c r="B291" t="s">
        <v>936</v>
      </c>
      <c r="C291" t="s">
        <v>16</v>
      </c>
      <c r="D291" t="s">
        <v>936</v>
      </c>
      <c r="E291" s="2" t="s">
        <v>937</v>
      </c>
      <c r="F291" t="s">
        <v>18</v>
      </c>
      <c r="G291" t="s">
        <v>931</v>
      </c>
      <c r="H291" t="s">
        <v>932</v>
      </c>
      <c r="I291" t="s">
        <v>938</v>
      </c>
      <c r="J291" t="s">
        <v>22</v>
      </c>
      <c r="K291">
        <v>1433868</v>
      </c>
      <c r="L291">
        <v>1989499</v>
      </c>
      <c r="M291" t="s">
        <v>934</v>
      </c>
      <c r="N291">
        <v>1433869</v>
      </c>
      <c r="O291">
        <v>1989500</v>
      </c>
      <c r="P291">
        <v>1989502</v>
      </c>
      <c r="Q291" t="s">
        <v>84</v>
      </c>
    </row>
    <row r="292" spans="1:17" x14ac:dyDescent="0.25">
      <c r="A292" t="s">
        <v>935</v>
      </c>
      <c r="B292" t="s">
        <v>936</v>
      </c>
      <c r="C292" t="s">
        <v>16</v>
      </c>
      <c r="D292" t="s">
        <v>936</v>
      </c>
      <c r="E292" s="2" t="s">
        <v>937</v>
      </c>
      <c r="F292" t="s">
        <v>18</v>
      </c>
      <c r="G292" t="s">
        <v>939</v>
      </c>
      <c r="H292" t="s">
        <v>940</v>
      </c>
      <c r="I292" t="s">
        <v>941</v>
      </c>
      <c r="J292" t="s">
        <v>22</v>
      </c>
      <c r="K292">
        <v>1102270</v>
      </c>
      <c r="L292">
        <v>1989499</v>
      </c>
      <c r="M292" t="s">
        <v>942</v>
      </c>
      <c r="N292">
        <v>1102271</v>
      </c>
      <c r="O292">
        <v>1989500</v>
      </c>
      <c r="P292">
        <v>1989502</v>
      </c>
      <c r="Q292" t="s">
        <v>84</v>
      </c>
    </row>
    <row r="293" spans="1:17" x14ac:dyDescent="0.25">
      <c r="A293" t="s">
        <v>943</v>
      </c>
      <c r="B293" t="s">
        <v>944</v>
      </c>
      <c r="C293" t="s">
        <v>16</v>
      </c>
      <c r="D293" t="s">
        <v>944</v>
      </c>
      <c r="E293" t="s">
        <v>945</v>
      </c>
      <c r="F293" t="s">
        <v>18</v>
      </c>
      <c r="G293" t="s">
        <v>946</v>
      </c>
      <c r="H293" t="s">
        <v>947</v>
      </c>
      <c r="I293" t="s">
        <v>259</v>
      </c>
      <c r="J293" t="s">
        <v>22</v>
      </c>
      <c r="K293" t="s">
        <v>948</v>
      </c>
      <c r="L293">
        <v>484211</v>
      </c>
      <c r="N293">
        <v>350671</v>
      </c>
      <c r="P293">
        <v>476349</v>
      </c>
      <c r="Q293" t="s">
        <v>41</v>
      </c>
    </row>
    <row r="294" spans="1:17" x14ac:dyDescent="0.25">
      <c r="A294" t="s">
        <v>943</v>
      </c>
      <c r="B294" t="s">
        <v>944</v>
      </c>
      <c r="C294" t="s">
        <v>16</v>
      </c>
      <c r="D294" t="s">
        <v>944</v>
      </c>
      <c r="E294" t="s">
        <v>945</v>
      </c>
      <c r="F294" t="s">
        <v>18</v>
      </c>
      <c r="G294" t="s">
        <v>949</v>
      </c>
      <c r="H294" t="s">
        <v>950</v>
      </c>
      <c r="I294" t="s">
        <v>171</v>
      </c>
      <c r="J294" t="s">
        <v>22</v>
      </c>
      <c r="K294" t="s">
        <v>951</v>
      </c>
      <c r="L294">
        <v>484211</v>
      </c>
      <c r="N294">
        <v>316673</v>
      </c>
      <c r="P294">
        <v>476349</v>
      </c>
      <c r="Q294" t="s">
        <v>41</v>
      </c>
    </row>
    <row r="295" spans="1:17" x14ac:dyDescent="0.25">
      <c r="A295" t="s">
        <v>952</v>
      </c>
      <c r="B295" t="s">
        <v>953</v>
      </c>
      <c r="C295" t="s">
        <v>16</v>
      </c>
      <c r="D295" t="s">
        <v>953</v>
      </c>
      <c r="E295" s="2" t="s">
        <v>954</v>
      </c>
      <c r="F295" t="s">
        <v>18</v>
      </c>
      <c r="G295" t="s">
        <v>104</v>
      </c>
      <c r="H295" t="s">
        <v>105</v>
      </c>
      <c r="I295" t="s">
        <v>955</v>
      </c>
      <c r="J295" t="s">
        <v>22</v>
      </c>
      <c r="K295" t="s">
        <v>107</v>
      </c>
    </row>
    <row r="296" spans="1:17" x14ac:dyDescent="0.25">
      <c r="A296" t="s">
        <v>952</v>
      </c>
      <c r="B296" t="s">
        <v>953</v>
      </c>
      <c r="C296" t="s">
        <v>16</v>
      </c>
      <c r="D296" t="s">
        <v>953</v>
      </c>
      <c r="E296" s="2" t="s">
        <v>954</v>
      </c>
      <c r="F296" t="s">
        <v>18</v>
      </c>
      <c r="G296" t="s">
        <v>956</v>
      </c>
      <c r="H296" t="s">
        <v>957</v>
      </c>
      <c r="I296" t="s">
        <v>737</v>
      </c>
      <c r="J296" t="s">
        <v>22</v>
      </c>
      <c r="K296" t="s">
        <v>958</v>
      </c>
      <c r="M296" t="s">
        <v>959</v>
      </c>
      <c r="Q296" t="s">
        <v>84</v>
      </c>
    </row>
    <row r="297" spans="1:17" x14ac:dyDescent="0.25">
      <c r="A297" t="s">
        <v>952</v>
      </c>
      <c r="B297" t="s">
        <v>953</v>
      </c>
      <c r="C297" t="s">
        <v>16</v>
      </c>
      <c r="D297" t="s">
        <v>953</v>
      </c>
      <c r="E297" s="2" t="s">
        <v>954</v>
      </c>
      <c r="F297" t="s">
        <v>18</v>
      </c>
      <c r="G297" t="s">
        <v>114</v>
      </c>
      <c r="H297" t="s">
        <v>115</v>
      </c>
      <c r="I297" t="s">
        <v>960</v>
      </c>
      <c r="J297" t="s">
        <v>22</v>
      </c>
      <c r="K297" t="s">
        <v>117</v>
      </c>
    </row>
    <row r="298" spans="1:17" x14ac:dyDescent="0.25">
      <c r="A298" t="s">
        <v>952</v>
      </c>
      <c r="B298" t="s">
        <v>953</v>
      </c>
      <c r="C298" t="s">
        <v>16</v>
      </c>
      <c r="D298" t="s">
        <v>953</v>
      </c>
      <c r="E298" s="2" t="s">
        <v>954</v>
      </c>
      <c r="F298" t="s">
        <v>18</v>
      </c>
      <c r="G298" t="s">
        <v>1411</v>
      </c>
      <c r="H298" t="s">
        <v>63</v>
      </c>
      <c r="I298" t="s">
        <v>185</v>
      </c>
      <c r="J298" t="s">
        <v>22</v>
      </c>
      <c r="K298">
        <v>4919</v>
      </c>
    </row>
    <row r="299" spans="1:17" x14ac:dyDescent="0.25">
      <c r="A299" t="s">
        <v>952</v>
      </c>
      <c r="B299" t="s">
        <v>953</v>
      </c>
      <c r="C299" t="s">
        <v>16</v>
      </c>
      <c r="D299" t="s">
        <v>953</v>
      </c>
      <c r="E299" s="2" t="s">
        <v>954</v>
      </c>
      <c r="F299" t="s">
        <v>18</v>
      </c>
      <c r="G299" t="s">
        <v>100</v>
      </c>
      <c r="H299" t="s">
        <v>101</v>
      </c>
      <c r="I299" t="s">
        <v>961</v>
      </c>
      <c r="J299" t="s">
        <v>22</v>
      </c>
      <c r="K299" t="s">
        <v>103</v>
      </c>
    </row>
    <row r="300" spans="1:17" x14ac:dyDescent="0.25">
      <c r="A300" t="s">
        <v>952</v>
      </c>
      <c r="B300" t="s">
        <v>953</v>
      </c>
      <c r="C300" t="s">
        <v>16</v>
      </c>
      <c r="D300" t="s">
        <v>953</v>
      </c>
      <c r="E300" s="2" t="s">
        <v>954</v>
      </c>
      <c r="F300" t="s">
        <v>18</v>
      </c>
      <c r="G300" t="s">
        <v>54</v>
      </c>
      <c r="H300" t="s">
        <v>55</v>
      </c>
      <c r="I300" t="s">
        <v>960</v>
      </c>
      <c r="J300" t="s">
        <v>22</v>
      </c>
      <c r="K300" t="s">
        <v>57</v>
      </c>
    </row>
    <row r="301" spans="1:17" x14ac:dyDescent="0.25">
      <c r="A301" t="s">
        <v>952</v>
      </c>
      <c r="B301" t="s">
        <v>953</v>
      </c>
      <c r="C301" t="s">
        <v>16</v>
      </c>
      <c r="D301" t="s">
        <v>953</v>
      </c>
      <c r="E301" s="2" t="s">
        <v>954</v>
      </c>
      <c r="F301" t="s">
        <v>18</v>
      </c>
      <c r="G301" t="s">
        <v>65</v>
      </c>
      <c r="H301" t="s">
        <v>66</v>
      </c>
      <c r="I301" t="s">
        <v>44</v>
      </c>
      <c r="J301" t="s">
        <v>22</v>
      </c>
      <c r="K301" t="s">
        <v>67</v>
      </c>
    </row>
    <row r="302" spans="1:17" x14ac:dyDescent="0.25">
      <c r="A302" t="s">
        <v>952</v>
      </c>
      <c r="B302" t="s">
        <v>953</v>
      </c>
      <c r="C302" t="s">
        <v>16</v>
      </c>
      <c r="D302" t="s">
        <v>953</v>
      </c>
      <c r="E302" s="2" t="s">
        <v>954</v>
      </c>
      <c r="F302" t="s">
        <v>18</v>
      </c>
      <c r="G302" t="s">
        <v>1412</v>
      </c>
      <c r="H302" t="s">
        <v>962</v>
      </c>
      <c r="I302" t="s">
        <v>206</v>
      </c>
      <c r="J302" t="s">
        <v>22</v>
      </c>
      <c r="K302">
        <v>29209</v>
      </c>
      <c r="M302" t="s">
        <v>963</v>
      </c>
    </row>
    <row r="303" spans="1:17" x14ac:dyDescent="0.25">
      <c r="A303" t="s">
        <v>952</v>
      </c>
      <c r="B303" t="s">
        <v>953</v>
      </c>
      <c r="C303" t="s">
        <v>16</v>
      </c>
      <c r="D303" t="s">
        <v>953</v>
      </c>
      <c r="E303" s="2" t="s">
        <v>954</v>
      </c>
      <c r="F303" t="s">
        <v>18</v>
      </c>
      <c r="G303" t="s">
        <v>96</v>
      </c>
      <c r="H303" t="s">
        <v>97</v>
      </c>
      <c r="I303" t="s">
        <v>964</v>
      </c>
      <c r="J303" t="s">
        <v>22</v>
      </c>
      <c r="K303" t="s">
        <v>99</v>
      </c>
    </row>
    <row r="304" spans="1:17" x14ac:dyDescent="0.25">
      <c r="A304" t="s">
        <v>952</v>
      </c>
      <c r="B304" t="s">
        <v>953</v>
      </c>
      <c r="C304" t="s">
        <v>16</v>
      </c>
      <c r="D304" t="s">
        <v>953</v>
      </c>
      <c r="E304" s="2" t="s">
        <v>954</v>
      </c>
      <c r="F304" t="s">
        <v>18</v>
      </c>
      <c r="G304" t="s">
        <v>965</v>
      </c>
      <c r="H304" t="s">
        <v>966</v>
      </c>
      <c r="J304" t="s">
        <v>22</v>
      </c>
      <c r="K304">
        <v>6536</v>
      </c>
    </row>
    <row r="305" spans="1:17" x14ac:dyDescent="0.25">
      <c r="A305" t="s">
        <v>952</v>
      </c>
      <c r="B305" t="s">
        <v>953</v>
      </c>
      <c r="C305" t="s">
        <v>16</v>
      </c>
      <c r="D305" t="s">
        <v>953</v>
      </c>
      <c r="E305" s="2" t="s">
        <v>954</v>
      </c>
      <c r="F305" t="s">
        <v>18</v>
      </c>
      <c r="G305" t="s">
        <v>108</v>
      </c>
      <c r="H305" t="s">
        <v>109</v>
      </c>
      <c r="I305" t="s">
        <v>967</v>
      </c>
      <c r="J305" t="s">
        <v>22</v>
      </c>
      <c r="K305" t="s">
        <v>110</v>
      </c>
      <c r="Q305" t="s">
        <v>41</v>
      </c>
    </row>
    <row r="306" spans="1:17" x14ac:dyDescent="0.25">
      <c r="A306" t="s">
        <v>952</v>
      </c>
      <c r="B306" t="s">
        <v>953</v>
      </c>
      <c r="C306" t="s">
        <v>16</v>
      </c>
      <c r="D306" t="s">
        <v>953</v>
      </c>
      <c r="E306" s="2" t="s">
        <v>954</v>
      </c>
      <c r="F306" t="s">
        <v>18</v>
      </c>
      <c r="G306" t="s">
        <v>968</v>
      </c>
      <c r="H306" t="s">
        <v>969</v>
      </c>
      <c r="J306" t="s">
        <v>22</v>
      </c>
      <c r="K306" t="s">
        <v>970</v>
      </c>
      <c r="Q306" t="s">
        <v>41</v>
      </c>
    </row>
    <row r="307" spans="1:17" x14ac:dyDescent="0.25">
      <c r="A307" t="s">
        <v>952</v>
      </c>
      <c r="B307" t="s">
        <v>953</v>
      </c>
      <c r="C307" t="s">
        <v>16</v>
      </c>
      <c r="D307" t="s">
        <v>953</v>
      </c>
      <c r="E307" s="2" t="s">
        <v>954</v>
      </c>
      <c r="F307" t="s">
        <v>18</v>
      </c>
      <c r="G307" t="s">
        <v>58</v>
      </c>
      <c r="H307" t="s">
        <v>59</v>
      </c>
      <c r="I307" t="s">
        <v>971</v>
      </c>
      <c r="J307" t="s">
        <v>22</v>
      </c>
      <c r="K307" t="s">
        <v>61</v>
      </c>
    </row>
    <row r="308" spans="1:17" x14ac:dyDescent="0.25">
      <c r="A308" t="s">
        <v>952</v>
      </c>
      <c r="B308" t="s">
        <v>953</v>
      </c>
      <c r="C308" t="s">
        <v>16</v>
      </c>
      <c r="D308" t="s">
        <v>953</v>
      </c>
      <c r="E308" s="2" t="s">
        <v>954</v>
      </c>
      <c r="F308" t="s">
        <v>18</v>
      </c>
      <c r="G308" t="s">
        <v>118</v>
      </c>
      <c r="H308" t="s">
        <v>119</v>
      </c>
      <c r="I308" t="s">
        <v>230</v>
      </c>
      <c r="J308" t="s">
        <v>22</v>
      </c>
      <c r="K308" t="s">
        <v>121</v>
      </c>
    </row>
    <row r="309" spans="1:17" x14ac:dyDescent="0.25">
      <c r="A309" t="s">
        <v>952</v>
      </c>
      <c r="B309" t="s">
        <v>953</v>
      </c>
      <c r="C309" t="s">
        <v>16</v>
      </c>
      <c r="D309" t="s">
        <v>953</v>
      </c>
      <c r="E309" s="2" t="s">
        <v>954</v>
      </c>
      <c r="F309" t="s">
        <v>18</v>
      </c>
      <c r="G309" t="s">
        <v>72</v>
      </c>
      <c r="H309" t="s">
        <v>73</v>
      </c>
      <c r="I309" t="s">
        <v>972</v>
      </c>
      <c r="J309" t="s">
        <v>22</v>
      </c>
      <c r="K309" t="s">
        <v>75</v>
      </c>
    </row>
    <row r="310" spans="1:17" x14ac:dyDescent="0.25">
      <c r="A310" t="s">
        <v>952</v>
      </c>
      <c r="B310" t="s">
        <v>953</v>
      </c>
      <c r="C310" t="s">
        <v>16</v>
      </c>
      <c r="D310" t="s">
        <v>953</v>
      </c>
      <c r="E310" s="2" t="s">
        <v>954</v>
      </c>
      <c r="F310" t="s">
        <v>18</v>
      </c>
      <c r="G310" t="s">
        <v>49</v>
      </c>
      <c r="H310" t="s">
        <v>50</v>
      </c>
      <c r="I310" t="s">
        <v>973</v>
      </c>
      <c r="J310" t="s">
        <v>22</v>
      </c>
      <c r="K310" t="s">
        <v>53</v>
      </c>
    </row>
    <row r="311" spans="1:17" x14ac:dyDescent="0.25">
      <c r="A311" t="s">
        <v>974</v>
      </c>
      <c r="B311" t="s">
        <v>975</v>
      </c>
      <c r="C311" t="s">
        <v>976</v>
      </c>
      <c r="D311" t="s">
        <v>975</v>
      </c>
      <c r="E311" t="s">
        <v>976</v>
      </c>
      <c r="F311" t="s">
        <v>18</v>
      </c>
      <c r="G311" t="s">
        <v>368</v>
      </c>
      <c r="H311" t="s">
        <v>369</v>
      </c>
      <c r="I311" t="s">
        <v>638</v>
      </c>
      <c r="J311" t="s">
        <v>22</v>
      </c>
      <c r="K311">
        <v>17767</v>
      </c>
      <c r="L311">
        <v>852897</v>
      </c>
      <c r="M311" t="s">
        <v>371</v>
      </c>
      <c r="N311">
        <v>329528</v>
      </c>
      <c r="O311">
        <v>848142</v>
      </c>
      <c r="P311">
        <v>848140</v>
      </c>
      <c r="Q311" t="s">
        <v>84</v>
      </c>
    </row>
    <row r="312" spans="1:17" x14ac:dyDescent="0.25">
      <c r="A312" t="s">
        <v>974</v>
      </c>
      <c r="B312" t="s">
        <v>975</v>
      </c>
      <c r="C312" t="s">
        <v>976</v>
      </c>
      <c r="D312" t="s">
        <v>975</v>
      </c>
      <c r="E312" t="s">
        <v>976</v>
      </c>
      <c r="F312" t="s">
        <v>18</v>
      </c>
      <c r="G312" t="s">
        <v>639</v>
      </c>
      <c r="H312" t="s">
        <v>640</v>
      </c>
      <c r="I312" t="s">
        <v>38</v>
      </c>
      <c r="J312" t="s">
        <v>22</v>
      </c>
      <c r="K312" t="s">
        <v>641</v>
      </c>
      <c r="L312">
        <v>852897</v>
      </c>
      <c r="N312">
        <v>316881</v>
      </c>
      <c r="O312">
        <v>848142</v>
      </c>
      <c r="P312">
        <v>848140</v>
      </c>
      <c r="Q312" t="s">
        <v>41</v>
      </c>
    </row>
    <row r="313" spans="1:17" x14ac:dyDescent="0.25">
      <c r="A313" t="s">
        <v>974</v>
      </c>
      <c r="B313" t="s">
        <v>975</v>
      </c>
      <c r="C313" t="s">
        <v>976</v>
      </c>
      <c r="D313" t="s">
        <v>975</v>
      </c>
      <c r="E313" t="s">
        <v>976</v>
      </c>
      <c r="F313" t="s">
        <v>18</v>
      </c>
      <c r="G313" t="s">
        <v>881</v>
      </c>
      <c r="H313" t="s">
        <v>882</v>
      </c>
      <c r="I313" t="s">
        <v>883</v>
      </c>
      <c r="J313" t="s">
        <v>22</v>
      </c>
      <c r="K313" t="s">
        <v>884</v>
      </c>
      <c r="L313">
        <v>852897</v>
      </c>
      <c r="N313">
        <v>316047</v>
      </c>
      <c r="O313">
        <v>848142</v>
      </c>
      <c r="P313">
        <v>848140</v>
      </c>
      <c r="Q313" t="s">
        <v>41</v>
      </c>
    </row>
    <row r="314" spans="1:17" x14ac:dyDescent="0.25">
      <c r="A314" t="s">
        <v>977</v>
      </c>
      <c r="B314" t="s">
        <v>978</v>
      </c>
      <c r="C314" t="s">
        <v>16</v>
      </c>
      <c r="D314" t="s">
        <v>978</v>
      </c>
      <c r="E314" t="s">
        <v>979</v>
      </c>
      <c r="F314" t="s">
        <v>18</v>
      </c>
      <c r="G314" t="s">
        <v>672</v>
      </c>
      <c r="H314" t="s">
        <v>673</v>
      </c>
      <c r="I314" t="s">
        <v>491</v>
      </c>
      <c r="J314" t="s">
        <v>22</v>
      </c>
      <c r="K314" t="s">
        <v>674</v>
      </c>
      <c r="Q314" t="s">
        <v>41</v>
      </c>
    </row>
    <row r="315" spans="1:17" x14ac:dyDescent="0.25">
      <c r="A315" t="s">
        <v>977</v>
      </c>
      <c r="B315" t="s">
        <v>978</v>
      </c>
      <c r="C315" t="s">
        <v>16</v>
      </c>
      <c r="D315" t="s">
        <v>978</v>
      </c>
      <c r="E315" t="s">
        <v>979</v>
      </c>
      <c r="F315" t="s">
        <v>18</v>
      </c>
      <c r="G315" t="s">
        <v>667</v>
      </c>
      <c r="H315" t="s">
        <v>668</v>
      </c>
      <c r="I315" t="s">
        <v>669</v>
      </c>
      <c r="J315" t="s">
        <v>22</v>
      </c>
      <c r="K315" t="s">
        <v>670</v>
      </c>
      <c r="M315" t="s">
        <v>671</v>
      </c>
      <c r="Q315" t="s">
        <v>84</v>
      </c>
    </row>
    <row r="316" spans="1:17" x14ac:dyDescent="0.25">
      <c r="A316" t="s">
        <v>980</v>
      </c>
      <c r="B316" t="s">
        <v>981</v>
      </c>
      <c r="C316" t="s">
        <v>16</v>
      </c>
      <c r="D316" t="s">
        <v>981</v>
      </c>
      <c r="E316" t="s">
        <v>982</v>
      </c>
      <c r="F316" t="s">
        <v>18</v>
      </c>
      <c r="G316" t="s">
        <v>589</v>
      </c>
      <c r="H316" t="s">
        <v>590</v>
      </c>
      <c r="I316" t="s">
        <v>265</v>
      </c>
      <c r="J316" t="s">
        <v>39</v>
      </c>
      <c r="K316">
        <v>41126</v>
      </c>
      <c r="L316">
        <v>1945038</v>
      </c>
      <c r="M316">
        <v>705022</v>
      </c>
    </row>
    <row r="317" spans="1:17" x14ac:dyDescent="0.25">
      <c r="A317" t="s">
        <v>980</v>
      </c>
      <c r="B317" t="s">
        <v>981</v>
      </c>
      <c r="C317" t="s">
        <v>16</v>
      </c>
      <c r="D317" t="s">
        <v>981</v>
      </c>
      <c r="E317" t="s">
        <v>982</v>
      </c>
      <c r="F317" t="s">
        <v>18</v>
      </c>
      <c r="G317" t="s">
        <v>888</v>
      </c>
      <c r="H317" t="s">
        <v>889</v>
      </c>
      <c r="I317" t="s">
        <v>890</v>
      </c>
      <c r="J317" t="s">
        <v>39</v>
      </c>
      <c r="K317">
        <v>1487514</v>
      </c>
      <c r="L317">
        <v>1945038</v>
      </c>
      <c r="M317">
        <v>1487512</v>
      </c>
    </row>
    <row r="318" spans="1:17" x14ac:dyDescent="0.25">
      <c r="A318" t="s">
        <v>980</v>
      </c>
      <c r="B318" t="s">
        <v>981</v>
      </c>
      <c r="C318" t="s">
        <v>16</v>
      </c>
      <c r="D318" t="s">
        <v>981</v>
      </c>
      <c r="E318" t="s">
        <v>982</v>
      </c>
      <c r="F318" t="s">
        <v>18</v>
      </c>
      <c r="G318" t="s">
        <v>591</v>
      </c>
      <c r="H318" t="s">
        <v>592</v>
      </c>
      <c r="I318" t="s">
        <v>307</v>
      </c>
      <c r="J318" t="s">
        <v>39</v>
      </c>
      <c r="K318">
        <v>1424884</v>
      </c>
      <c r="L318">
        <v>1945038</v>
      </c>
      <c r="M318">
        <v>1424883</v>
      </c>
    </row>
    <row r="319" spans="1:17" x14ac:dyDescent="0.25">
      <c r="A319" t="s">
        <v>983</v>
      </c>
      <c r="B319" t="s">
        <v>984</v>
      </c>
      <c r="C319" t="s">
        <v>985</v>
      </c>
      <c r="D319" t="s">
        <v>984</v>
      </c>
      <c r="E319" s="2" t="s">
        <v>985</v>
      </c>
      <c r="F319" t="s">
        <v>18</v>
      </c>
      <c r="G319" t="s">
        <v>1413</v>
      </c>
      <c r="H319" t="s">
        <v>987</v>
      </c>
      <c r="I319" t="s">
        <v>988</v>
      </c>
      <c r="J319" t="s">
        <v>22</v>
      </c>
      <c r="K319">
        <v>7880</v>
      </c>
      <c r="L319">
        <v>1008977</v>
      </c>
    </row>
    <row r="320" spans="1:17" x14ac:dyDescent="0.25">
      <c r="A320" t="s">
        <v>983</v>
      </c>
      <c r="B320" t="s">
        <v>984</v>
      </c>
      <c r="C320" t="s">
        <v>985</v>
      </c>
      <c r="D320" t="s">
        <v>984</v>
      </c>
      <c r="E320" s="2" t="s">
        <v>985</v>
      </c>
      <c r="F320" t="s">
        <v>18</v>
      </c>
      <c r="G320" t="s">
        <v>989</v>
      </c>
      <c r="H320" t="s">
        <v>990</v>
      </c>
      <c r="I320" t="s">
        <v>221</v>
      </c>
      <c r="J320" t="s">
        <v>22</v>
      </c>
      <c r="K320">
        <v>6915</v>
      </c>
      <c r="L320">
        <v>1008977</v>
      </c>
      <c r="M320" t="s">
        <v>991</v>
      </c>
    </row>
    <row r="321" spans="1:17" x14ac:dyDescent="0.25">
      <c r="A321" t="s">
        <v>992</v>
      </c>
      <c r="B321" t="s">
        <v>993</v>
      </c>
      <c r="C321" t="s">
        <v>16</v>
      </c>
      <c r="D321" t="s">
        <v>993</v>
      </c>
      <c r="E321" t="s">
        <v>994</v>
      </c>
      <c r="F321" t="s">
        <v>18</v>
      </c>
      <c r="G321" t="s">
        <v>1414</v>
      </c>
      <c r="H321" t="s">
        <v>996</v>
      </c>
      <c r="I321" t="s">
        <v>669</v>
      </c>
      <c r="J321" t="s">
        <v>22</v>
      </c>
      <c r="K321">
        <v>2184</v>
      </c>
      <c r="M321">
        <v>227214</v>
      </c>
    </row>
    <row r="322" spans="1:17" x14ac:dyDescent="0.25">
      <c r="A322" t="s">
        <v>992</v>
      </c>
      <c r="B322" t="s">
        <v>993</v>
      </c>
      <c r="C322" t="s">
        <v>16</v>
      </c>
      <c r="D322" t="s">
        <v>993</v>
      </c>
      <c r="E322" t="s">
        <v>994</v>
      </c>
      <c r="F322" t="s">
        <v>18</v>
      </c>
      <c r="G322" t="s">
        <v>1415</v>
      </c>
      <c r="H322" t="s">
        <v>897</v>
      </c>
      <c r="I322" t="s">
        <v>669</v>
      </c>
      <c r="J322" t="s">
        <v>22</v>
      </c>
      <c r="K322">
        <v>10167</v>
      </c>
      <c r="M322">
        <v>82100</v>
      </c>
    </row>
    <row r="323" spans="1:17" x14ac:dyDescent="0.25">
      <c r="A323" t="s">
        <v>992</v>
      </c>
      <c r="B323" t="s">
        <v>993</v>
      </c>
      <c r="C323" t="s">
        <v>16</v>
      </c>
      <c r="D323" t="s">
        <v>993</v>
      </c>
      <c r="E323" t="s">
        <v>994</v>
      </c>
      <c r="F323" t="s">
        <v>18</v>
      </c>
      <c r="G323" t="s">
        <v>995</v>
      </c>
      <c r="H323" t="s">
        <v>996</v>
      </c>
      <c r="I323" t="s">
        <v>29</v>
      </c>
      <c r="J323" t="s">
        <v>22</v>
      </c>
      <c r="K323">
        <v>2184</v>
      </c>
      <c r="M323">
        <v>227214</v>
      </c>
    </row>
    <row r="324" spans="1:17" x14ac:dyDescent="0.25">
      <c r="A324" t="s">
        <v>992</v>
      </c>
      <c r="B324" t="s">
        <v>993</v>
      </c>
      <c r="C324" t="s">
        <v>16</v>
      </c>
      <c r="D324" t="s">
        <v>993</v>
      </c>
      <c r="E324" t="s">
        <v>994</v>
      </c>
      <c r="F324" t="s">
        <v>18</v>
      </c>
      <c r="G324" t="s">
        <v>896</v>
      </c>
      <c r="H324" t="s">
        <v>897</v>
      </c>
      <c r="I324" t="s">
        <v>29</v>
      </c>
      <c r="J324" t="s">
        <v>22</v>
      </c>
      <c r="K324">
        <v>10167</v>
      </c>
      <c r="M324">
        <v>82100</v>
      </c>
    </row>
    <row r="325" spans="1:17" x14ac:dyDescent="0.25">
      <c r="A325" t="s">
        <v>992</v>
      </c>
      <c r="B325" t="s">
        <v>993</v>
      </c>
      <c r="C325" t="s">
        <v>16</v>
      </c>
      <c r="D325" t="s">
        <v>993</v>
      </c>
      <c r="E325" t="s">
        <v>994</v>
      </c>
      <c r="F325" t="s">
        <v>18</v>
      </c>
      <c r="G325" t="s">
        <v>995</v>
      </c>
      <c r="H325" t="s">
        <v>996</v>
      </c>
      <c r="I325" t="s">
        <v>997</v>
      </c>
      <c r="J325" t="s">
        <v>22</v>
      </c>
      <c r="K325">
        <v>2184</v>
      </c>
      <c r="M325">
        <v>227214</v>
      </c>
    </row>
    <row r="326" spans="1:17" x14ac:dyDescent="0.25">
      <c r="A326" t="s">
        <v>992</v>
      </c>
      <c r="B326" t="s">
        <v>993</v>
      </c>
      <c r="C326" t="s">
        <v>16</v>
      </c>
      <c r="D326" t="s">
        <v>993</v>
      </c>
      <c r="E326" t="s">
        <v>994</v>
      </c>
      <c r="F326" t="s">
        <v>18</v>
      </c>
      <c r="G326" t="s">
        <v>896</v>
      </c>
      <c r="H326" t="s">
        <v>897</v>
      </c>
      <c r="I326" t="s">
        <v>997</v>
      </c>
      <c r="J326" t="s">
        <v>22</v>
      </c>
      <c r="K326">
        <v>10167</v>
      </c>
      <c r="M326">
        <v>82100</v>
      </c>
    </row>
    <row r="327" spans="1:17" x14ac:dyDescent="0.25">
      <c r="A327" t="s">
        <v>998</v>
      </c>
      <c r="B327" t="s">
        <v>999</v>
      </c>
      <c r="C327" t="s">
        <v>16</v>
      </c>
      <c r="D327" t="s">
        <v>999</v>
      </c>
      <c r="E327" t="s">
        <v>1000</v>
      </c>
      <c r="F327" t="s">
        <v>18</v>
      </c>
      <c r="G327" t="s">
        <v>368</v>
      </c>
      <c r="H327" t="s">
        <v>369</v>
      </c>
      <c r="I327" t="s">
        <v>370</v>
      </c>
      <c r="J327" t="s">
        <v>22</v>
      </c>
      <c r="K327">
        <v>17767</v>
      </c>
      <c r="L327">
        <v>214223</v>
      </c>
      <c r="M327" t="s">
        <v>371</v>
      </c>
      <c r="Q327" t="s">
        <v>84</v>
      </c>
    </row>
    <row r="328" spans="1:17" x14ac:dyDescent="0.25">
      <c r="A328" t="s">
        <v>998</v>
      </c>
      <c r="B328" t="s">
        <v>999</v>
      </c>
      <c r="C328" t="s">
        <v>16</v>
      </c>
      <c r="D328" t="s">
        <v>999</v>
      </c>
      <c r="E328" t="s">
        <v>1000</v>
      </c>
      <c r="F328" t="s">
        <v>18</v>
      </c>
      <c r="G328" t="s">
        <v>372</v>
      </c>
      <c r="H328" t="s">
        <v>373</v>
      </c>
      <c r="I328" t="s">
        <v>259</v>
      </c>
      <c r="J328" t="s">
        <v>22</v>
      </c>
      <c r="K328">
        <v>18867</v>
      </c>
      <c r="L328">
        <v>214223</v>
      </c>
      <c r="M328" t="s">
        <v>374</v>
      </c>
      <c r="Q328" t="s">
        <v>84</v>
      </c>
    </row>
    <row r="329" spans="1:17" x14ac:dyDescent="0.25">
      <c r="A329" t="s">
        <v>1001</v>
      </c>
      <c r="B329" t="s">
        <v>1002</v>
      </c>
      <c r="C329" t="s">
        <v>16</v>
      </c>
      <c r="D329" t="s">
        <v>1002</v>
      </c>
      <c r="E329" s="2" t="s">
        <v>1003</v>
      </c>
      <c r="F329" t="s">
        <v>18</v>
      </c>
      <c r="G329" t="s">
        <v>1004</v>
      </c>
      <c r="H329" t="s">
        <v>1005</v>
      </c>
      <c r="I329" t="s">
        <v>358</v>
      </c>
      <c r="J329" t="s">
        <v>22</v>
      </c>
      <c r="K329">
        <v>1514</v>
      </c>
      <c r="M329" t="s">
        <v>1006</v>
      </c>
      <c r="Q329" t="s">
        <v>84</v>
      </c>
    </row>
    <row r="330" spans="1:17" x14ac:dyDescent="0.25">
      <c r="A330" t="s">
        <v>1001</v>
      </c>
      <c r="B330" t="s">
        <v>1002</v>
      </c>
      <c r="C330" t="s">
        <v>16</v>
      </c>
      <c r="D330" t="s">
        <v>1002</v>
      </c>
      <c r="E330" s="2" t="s">
        <v>1003</v>
      </c>
      <c r="F330" t="s">
        <v>18</v>
      </c>
      <c r="G330" t="s">
        <v>305</v>
      </c>
      <c r="H330" t="s">
        <v>306</v>
      </c>
      <c r="I330" t="s">
        <v>518</v>
      </c>
      <c r="J330" t="s">
        <v>22</v>
      </c>
      <c r="K330">
        <v>6387</v>
      </c>
      <c r="M330" t="s">
        <v>308</v>
      </c>
    </row>
    <row r="331" spans="1:17" x14ac:dyDescent="0.25">
      <c r="A331" t="s">
        <v>1001</v>
      </c>
      <c r="B331" t="s">
        <v>1002</v>
      </c>
      <c r="C331" t="s">
        <v>16</v>
      </c>
      <c r="D331" t="s">
        <v>1002</v>
      </c>
      <c r="E331" s="2" t="s">
        <v>1003</v>
      </c>
      <c r="F331" t="s">
        <v>18</v>
      </c>
      <c r="G331" t="s">
        <v>1007</v>
      </c>
      <c r="H331" t="s">
        <v>1008</v>
      </c>
      <c r="I331" t="s">
        <v>194</v>
      </c>
      <c r="J331" t="s">
        <v>22</v>
      </c>
      <c r="K331">
        <v>8163</v>
      </c>
      <c r="M331" t="s">
        <v>1009</v>
      </c>
    </row>
    <row r="332" spans="1:17" x14ac:dyDescent="0.25">
      <c r="A332" t="s">
        <v>1010</v>
      </c>
      <c r="B332" t="s">
        <v>1011</v>
      </c>
      <c r="C332" t="s">
        <v>1012</v>
      </c>
      <c r="D332" t="s">
        <v>1011</v>
      </c>
      <c r="E332" t="s">
        <v>1012</v>
      </c>
      <c r="F332" t="s">
        <v>18</v>
      </c>
      <c r="G332" t="s">
        <v>925</v>
      </c>
      <c r="H332" t="s">
        <v>926</v>
      </c>
      <c r="I332" t="s">
        <v>275</v>
      </c>
      <c r="J332" t="s">
        <v>22</v>
      </c>
      <c r="K332">
        <v>300195</v>
      </c>
      <c r="L332">
        <v>1008145</v>
      </c>
      <c r="M332" t="s">
        <v>927</v>
      </c>
      <c r="N332">
        <v>393334</v>
      </c>
      <c r="O332">
        <v>639887</v>
      </c>
      <c r="P332">
        <v>476556</v>
      </c>
      <c r="Q332" t="s">
        <v>84</v>
      </c>
    </row>
    <row r="333" spans="1:17" x14ac:dyDescent="0.25">
      <c r="A333" t="s">
        <v>1010</v>
      </c>
      <c r="B333" t="s">
        <v>1011</v>
      </c>
      <c r="C333" t="s">
        <v>1012</v>
      </c>
      <c r="D333" t="s">
        <v>1011</v>
      </c>
      <c r="E333" t="s">
        <v>1012</v>
      </c>
      <c r="F333" t="s">
        <v>18</v>
      </c>
      <c r="G333" t="s">
        <v>1013</v>
      </c>
      <c r="H333" t="s">
        <v>1014</v>
      </c>
      <c r="I333" t="s">
        <v>21</v>
      </c>
      <c r="J333" t="s">
        <v>22</v>
      </c>
      <c r="K333" t="s">
        <v>1015</v>
      </c>
      <c r="L333">
        <v>1008145</v>
      </c>
      <c r="N333">
        <v>406016</v>
      </c>
      <c r="O333">
        <v>639887</v>
      </c>
      <c r="P333">
        <v>476556</v>
      </c>
      <c r="Q333" t="s">
        <v>41</v>
      </c>
    </row>
    <row r="334" spans="1:17" x14ac:dyDescent="0.25">
      <c r="A334" t="s">
        <v>1016</v>
      </c>
      <c r="B334" t="s">
        <v>1017</v>
      </c>
      <c r="C334" t="s">
        <v>16</v>
      </c>
      <c r="D334" t="s">
        <v>1017</v>
      </c>
      <c r="E334" s="2" t="s">
        <v>1018</v>
      </c>
      <c r="F334" t="s">
        <v>18</v>
      </c>
      <c r="G334" t="s">
        <v>931</v>
      </c>
      <c r="H334" t="s">
        <v>932</v>
      </c>
      <c r="I334" t="s">
        <v>933</v>
      </c>
      <c r="J334" t="s">
        <v>22</v>
      </c>
      <c r="K334">
        <v>1433868</v>
      </c>
      <c r="L334">
        <v>1546887</v>
      </c>
      <c r="M334" t="s">
        <v>934</v>
      </c>
      <c r="N334">
        <v>1433869</v>
      </c>
      <c r="O334">
        <v>1546890</v>
      </c>
      <c r="P334">
        <v>1546888</v>
      </c>
      <c r="Q334" t="s">
        <v>84</v>
      </c>
    </row>
    <row r="335" spans="1:17" x14ac:dyDescent="0.25">
      <c r="A335" t="s">
        <v>1016</v>
      </c>
      <c r="B335" t="s">
        <v>1017</v>
      </c>
      <c r="C335" t="s">
        <v>16</v>
      </c>
      <c r="D335" t="s">
        <v>1017</v>
      </c>
      <c r="E335" s="2" t="s">
        <v>1018</v>
      </c>
      <c r="F335" t="s">
        <v>18</v>
      </c>
      <c r="G335" t="s">
        <v>1019</v>
      </c>
      <c r="H335" t="s">
        <v>1020</v>
      </c>
      <c r="I335" t="s">
        <v>1021</v>
      </c>
      <c r="J335" t="s">
        <v>22</v>
      </c>
      <c r="K335">
        <v>190521</v>
      </c>
      <c r="L335">
        <v>1546887</v>
      </c>
      <c r="M335" t="s">
        <v>1022</v>
      </c>
      <c r="N335">
        <v>602392</v>
      </c>
      <c r="O335">
        <v>1546890</v>
      </c>
      <c r="P335">
        <v>1546888</v>
      </c>
      <c r="Q335" t="s">
        <v>84</v>
      </c>
    </row>
    <row r="336" spans="1:17" x14ac:dyDescent="0.25">
      <c r="A336" t="s">
        <v>1016</v>
      </c>
      <c r="B336" t="s">
        <v>1017</v>
      </c>
      <c r="C336" t="s">
        <v>16</v>
      </c>
      <c r="D336" t="s">
        <v>1017</v>
      </c>
      <c r="E336" s="2" t="s">
        <v>1018</v>
      </c>
      <c r="F336" t="s">
        <v>18</v>
      </c>
      <c r="G336" t="s">
        <v>922</v>
      </c>
      <c r="H336" t="s">
        <v>923</v>
      </c>
      <c r="I336" t="s">
        <v>275</v>
      </c>
      <c r="J336" t="s">
        <v>22</v>
      </c>
      <c r="K336" t="s">
        <v>924</v>
      </c>
      <c r="L336">
        <v>1546887</v>
      </c>
      <c r="N336">
        <v>350655</v>
      </c>
      <c r="O336">
        <v>1546890</v>
      </c>
      <c r="P336">
        <v>1546888</v>
      </c>
      <c r="Q336" t="s">
        <v>41</v>
      </c>
    </row>
    <row r="337" spans="1:17" x14ac:dyDescent="0.25">
      <c r="A337" t="s">
        <v>1023</v>
      </c>
      <c r="B337" t="s">
        <v>1024</v>
      </c>
      <c r="C337" t="s">
        <v>16</v>
      </c>
      <c r="D337" t="s">
        <v>1024</v>
      </c>
      <c r="E337" t="s">
        <v>1025</v>
      </c>
      <c r="F337" t="s">
        <v>18</v>
      </c>
      <c r="G337" t="s">
        <v>489</v>
      </c>
      <c r="H337" t="s">
        <v>490</v>
      </c>
      <c r="I337" t="s">
        <v>491</v>
      </c>
      <c r="J337" t="s">
        <v>52</v>
      </c>
      <c r="K337">
        <v>8339</v>
      </c>
      <c r="L337">
        <v>74169</v>
      </c>
      <c r="M337" t="s">
        <v>492</v>
      </c>
      <c r="N337">
        <v>1659128</v>
      </c>
      <c r="P337">
        <v>1659131</v>
      </c>
    </row>
    <row r="338" spans="1:17" x14ac:dyDescent="0.25">
      <c r="A338" t="s">
        <v>1023</v>
      </c>
      <c r="B338" t="s">
        <v>1024</v>
      </c>
      <c r="C338" t="s">
        <v>16</v>
      </c>
      <c r="D338" t="s">
        <v>1024</v>
      </c>
      <c r="E338" t="s">
        <v>1025</v>
      </c>
      <c r="F338" t="s">
        <v>18</v>
      </c>
      <c r="G338" t="s">
        <v>493</v>
      </c>
      <c r="H338" t="s">
        <v>494</v>
      </c>
      <c r="I338" t="s">
        <v>495</v>
      </c>
      <c r="J338" t="s">
        <v>52</v>
      </c>
      <c r="K338">
        <v>37617</v>
      </c>
      <c r="L338">
        <v>74169</v>
      </c>
      <c r="M338" t="s">
        <v>496</v>
      </c>
      <c r="N338">
        <v>1659129</v>
      </c>
      <c r="P338">
        <v>1659131</v>
      </c>
    </row>
    <row r="339" spans="1:17" x14ac:dyDescent="0.25">
      <c r="A339" t="s">
        <v>1023</v>
      </c>
      <c r="B339" t="s">
        <v>1024</v>
      </c>
      <c r="C339" t="s">
        <v>16</v>
      </c>
      <c r="D339" t="s">
        <v>1024</v>
      </c>
      <c r="E339" t="s">
        <v>1025</v>
      </c>
      <c r="F339" t="s">
        <v>18</v>
      </c>
      <c r="G339" t="s">
        <v>489</v>
      </c>
      <c r="H339" t="s">
        <v>490</v>
      </c>
      <c r="I339" t="s">
        <v>316</v>
      </c>
      <c r="J339" t="s">
        <v>52</v>
      </c>
      <c r="K339">
        <v>8339</v>
      </c>
      <c r="L339">
        <v>74169</v>
      </c>
      <c r="M339" t="s">
        <v>492</v>
      </c>
      <c r="N339">
        <v>1659148</v>
      </c>
      <c r="P339">
        <v>1659149</v>
      </c>
    </row>
    <row r="340" spans="1:17" x14ac:dyDescent="0.25">
      <c r="A340" t="s">
        <v>1023</v>
      </c>
      <c r="B340" t="s">
        <v>1024</v>
      </c>
      <c r="C340" t="s">
        <v>16</v>
      </c>
      <c r="D340" t="s">
        <v>1024</v>
      </c>
      <c r="E340" t="s">
        <v>1025</v>
      </c>
      <c r="F340" t="s">
        <v>18</v>
      </c>
      <c r="G340" t="s">
        <v>493</v>
      </c>
      <c r="H340" t="s">
        <v>494</v>
      </c>
      <c r="I340" t="s">
        <v>358</v>
      </c>
      <c r="J340" t="s">
        <v>52</v>
      </c>
      <c r="K340">
        <v>37617</v>
      </c>
      <c r="L340">
        <v>74169</v>
      </c>
      <c r="M340" t="s">
        <v>496</v>
      </c>
      <c r="N340">
        <v>1656793</v>
      </c>
      <c r="P340">
        <v>1659149</v>
      </c>
    </row>
    <row r="341" spans="1:17" x14ac:dyDescent="0.25">
      <c r="A341" t="s">
        <v>1023</v>
      </c>
      <c r="B341" t="s">
        <v>1024</v>
      </c>
      <c r="C341" t="s">
        <v>16</v>
      </c>
      <c r="D341" t="s">
        <v>1024</v>
      </c>
      <c r="E341" t="s">
        <v>1025</v>
      </c>
      <c r="F341" t="s">
        <v>18</v>
      </c>
      <c r="G341" t="s">
        <v>489</v>
      </c>
      <c r="H341" t="s">
        <v>490</v>
      </c>
      <c r="I341" t="s">
        <v>1026</v>
      </c>
      <c r="J341" t="s">
        <v>52</v>
      </c>
      <c r="K341">
        <v>8339</v>
      </c>
      <c r="L341">
        <v>74169</v>
      </c>
      <c r="M341" t="s">
        <v>492</v>
      </c>
      <c r="N341">
        <v>1659135</v>
      </c>
      <c r="P341">
        <v>1659137</v>
      </c>
    </row>
    <row r="342" spans="1:17" x14ac:dyDescent="0.25">
      <c r="A342" t="s">
        <v>1023</v>
      </c>
      <c r="B342" t="s">
        <v>1024</v>
      </c>
      <c r="C342" t="s">
        <v>16</v>
      </c>
      <c r="D342" t="s">
        <v>1024</v>
      </c>
      <c r="E342" t="s">
        <v>1025</v>
      </c>
      <c r="F342" t="s">
        <v>18</v>
      </c>
      <c r="G342" t="s">
        <v>493</v>
      </c>
      <c r="H342" t="s">
        <v>494</v>
      </c>
      <c r="I342" t="s">
        <v>1027</v>
      </c>
      <c r="J342" t="s">
        <v>52</v>
      </c>
      <c r="K342">
        <v>37617</v>
      </c>
      <c r="L342">
        <v>74169</v>
      </c>
      <c r="M342" t="s">
        <v>496</v>
      </c>
      <c r="N342">
        <v>1659136</v>
      </c>
      <c r="P342">
        <v>1659137</v>
      </c>
    </row>
    <row r="343" spans="1:17" x14ac:dyDescent="0.25">
      <c r="A343" t="s">
        <v>1023</v>
      </c>
      <c r="B343" t="s">
        <v>1024</v>
      </c>
      <c r="C343" t="s">
        <v>16</v>
      </c>
      <c r="D343" t="s">
        <v>1024</v>
      </c>
      <c r="E343" t="s">
        <v>1025</v>
      </c>
      <c r="F343" t="s">
        <v>18</v>
      </c>
      <c r="G343" t="s">
        <v>489</v>
      </c>
      <c r="H343" t="s">
        <v>490</v>
      </c>
      <c r="I343" t="s">
        <v>1028</v>
      </c>
      <c r="J343" t="s">
        <v>52</v>
      </c>
      <c r="K343">
        <v>8339</v>
      </c>
      <c r="L343">
        <v>74169</v>
      </c>
      <c r="M343" t="s">
        <v>492</v>
      </c>
    </row>
    <row r="344" spans="1:17" x14ac:dyDescent="0.25">
      <c r="A344" t="s">
        <v>1023</v>
      </c>
      <c r="B344" t="s">
        <v>1024</v>
      </c>
      <c r="C344" t="s">
        <v>16</v>
      </c>
      <c r="D344" t="s">
        <v>1024</v>
      </c>
      <c r="E344" t="s">
        <v>1025</v>
      </c>
      <c r="F344" t="s">
        <v>18</v>
      </c>
      <c r="G344" t="s">
        <v>493</v>
      </c>
      <c r="H344" t="s">
        <v>494</v>
      </c>
      <c r="I344" t="s">
        <v>44</v>
      </c>
      <c r="J344" t="s">
        <v>52</v>
      </c>
      <c r="K344">
        <v>37617</v>
      </c>
      <c r="L344">
        <v>74169</v>
      </c>
      <c r="M344" t="s">
        <v>496</v>
      </c>
    </row>
    <row r="345" spans="1:17" x14ac:dyDescent="0.25">
      <c r="A345" t="s">
        <v>1029</v>
      </c>
      <c r="B345" t="s">
        <v>1030</v>
      </c>
      <c r="C345" t="s">
        <v>16</v>
      </c>
      <c r="D345" t="s">
        <v>1030</v>
      </c>
      <c r="E345" s="2" t="s">
        <v>1031</v>
      </c>
      <c r="F345" t="s">
        <v>18</v>
      </c>
      <c r="G345" t="s">
        <v>939</v>
      </c>
      <c r="H345" t="s">
        <v>940</v>
      </c>
      <c r="I345" t="s">
        <v>941</v>
      </c>
      <c r="J345" t="s">
        <v>22</v>
      </c>
      <c r="K345">
        <v>1102270</v>
      </c>
      <c r="L345">
        <v>1727492</v>
      </c>
      <c r="M345" t="s">
        <v>942</v>
      </c>
      <c r="N345">
        <v>1102271</v>
      </c>
      <c r="O345">
        <v>1741735</v>
      </c>
      <c r="P345">
        <v>1741733</v>
      </c>
      <c r="Q345" t="s">
        <v>84</v>
      </c>
    </row>
    <row r="346" spans="1:17" x14ac:dyDescent="0.25">
      <c r="A346" t="s">
        <v>1029</v>
      </c>
      <c r="B346" t="s">
        <v>1030</v>
      </c>
      <c r="C346" t="s">
        <v>16</v>
      </c>
      <c r="D346" t="s">
        <v>1030</v>
      </c>
      <c r="E346" s="2" t="s">
        <v>1031</v>
      </c>
      <c r="F346" t="s">
        <v>18</v>
      </c>
      <c r="G346" t="s">
        <v>1013</v>
      </c>
      <c r="H346" t="s">
        <v>1014</v>
      </c>
      <c r="I346" t="s">
        <v>21</v>
      </c>
      <c r="J346" t="s">
        <v>22</v>
      </c>
      <c r="K346" t="s">
        <v>1015</v>
      </c>
      <c r="L346">
        <v>1727492</v>
      </c>
      <c r="N346">
        <v>406016</v>
      </c>
      <c r="O346">
        <v>1741735</v>
      </c>
      <c r="P346">
        <v>1741733</v>
      </c>
      <c r="Q346" t="s">
        <v>41</v>
      </c>
    </row>
    <row r="347" spans="1:17" x14ac:dyDescent="0.25">
      <c r="A347" t="s">
        <v>1029</v>
      </c>
      <c r="B347" t="s">
        <v>1030</v>
      </c>
      <c r="C347" t="s">
        <v>16</v>
      </c>
      <c r="D347" t="s">
        <v>1030</v>
      </c>
      <c r="E347" s="2" t="s">
        <v>1031</v>
      </c>
      <c r="F347" t="s">
        <v>18</v>
      </c>
      <c r="G347" t="s">
        <v>1032</v>
      </c>
      <c r="H347" t="s">
        <v>1033</v>
      </c>
      <c r="I347" t="s">
        <v>1034</v>
      </c>
      <c r="J347" t="s">
        <v>22</v>
      </c>
      <c r="K347">
        <v>1721603</v>
      </c>
      <c r="L347">
        <v>1727492</v>
      </c>
      <c r="M347" t="s">
        <v>1035</v>
      </c>
      <c r="N347">
        <v>1741729</v>
      </c>
      <c r="O347">
        <v>1741735</v>
      </c>
      <c r="P347">
        <v>1741733</v>
      </c>
      <c r="Q347" t="s">
        <v>84</v>
      </c>
    </row>
    <row r="348" spans="1:17" x14ac:dyDescent="0.25">
      <c r="A348" t="s">
        <v>1036</v>
      </c>
      <c r="B348" t="s">
        <v>1037</v>
      </c>
      <c r="C348" t="s">
        <v>16</v>
      </c>
      <c r="D348" t="s">
        <v>1037</v>
      </c>
      <c r="E348" t="s">
        <v>1038</v>
      </c>
      <c r="F348" t="s">
        <v>18</v>
      </c>
      <c r="G348" t="s">
        <v>639</v>
      </c>
      <c r="H348" t="s">
        <v>640</v>
      </c>
      <c r="I348" t="s">
        <v>465</v>
      </c>
      <c r="J348" t="s">
        <v>22</v>
      </c>
      <c r="K348" t="s">
        <v>641</v>
      </c>
      <c r="L348">
        <v>729455</v>
      </c>
      <c r="N348">
        <v>316882</v>
      </c>
      <c r="Q348" t="s">
        <v>41</v>
      </c>
    </row>
    <row r="349" spans="1:17" x14ac:dyDescent="0.25">
      <c r="A349" t="s">
        <v>1036</v>
      </c>
      <c r="B349" t="s">
        <v>1037</v>
      </c>
      <c r="C349" t="s">
        <v>16</v>
      </c>
      <c r="D349" t="s">
        <v>1037</v>
      </c>
      <c r="E349" t="s">
        <v>1038</v>
      </c>
      <c r="F349" t="s">
        <v>18</v>
      </c>
      <c r="G349" t="s">
        <v>726</v>
      </c>
      <c r="H349" t="s">
        <v>727</v>
      </c>
      <c r="I349" t="s">
        <v>728</v>
      </c>
      <c r="J349" t="s">
        <v>22</v>
      </c>
      <c r="K349">
        <v>17767</v>
      </c>
      <c r="L349">
        <v>729455</v>
      </c>
      <c r="M349" t="s">
        <v>371</v>
      </c>
      <c r="N349">
        <v>329528</v>
      </c>
    </row>
    <row r="350" spans="1:17" x14ac:dyDescent="0.25">
      <c r="A350" t="s">
        <v>1039</v>
      </c>
      <c r="B350" t="s">
        <v>1040</v>
      </c>
      <c r="C350" t="s">
        <v>16</v>
      </c>
      <c r="D350" t="s">
        <v>1040</v>
      </c>
      <c r="E350" s="2" t="s">
        <v>1041</v>
      </c>
      <c r="F350" t="s">
        <v>18</v>
      </c>
      <c r="G350" t="s">
        <v>1042</v>
      </c>
      <c r="H350" t="s">
        <v>1043</v>
      </c>
      <c r="I350" t="s">
        <v>1044</v>
      </c>
      <c r="J350" t="s">
        <v>22</v>
      </c>
      <c r="K350">
        <v>6809</v>
      </c>
      <c r="L350">
        <v>1486436</v>
      </c>
      <c r="M350">
        <v>235743</v>
      </c>
      <c r="N350">
        <v>860995</v>
      </c>
      <c r="O350">
        <v>1592722</v>
      </c>
      <c r="P350">
        <v>1593058</v>
      </c>
    </row>
    <row r="351" spans="1:17" x14ac:dyDescent="0.25">
      <c r="A351" t="s">
        <v>1039</v>
      </c>
      <c r="B351" t="s">
        <v>1040</v>
      </c>
      <c r="C351" t="s">
        <v>16</v>
      </c>
      <c r="D351" t="s">
        <v>1040</v>
      </c>
      <c r="E351" s="2" t="s">
        <v>1041</v>
      </c>
      <c r="F351" t="s">
        <v>18</v>
      </c>
      <c r="G351" t="s">
        <v>1045</v>
      </c>
      <c r="H351" t="s">
        <v>1046</v>
      </c>
      <c r="I351" t="s">
        <v>1047</v>
      </c>
      <c r="J351" t="s">
        <v>22</v>
      </c>
      <c r="K351">
        <v>1488564</v>
      </c>
      <c r="L351">
        <v>1486436</v>
      </c>
      <c r="M351" t="s">
        <v>1048</v>
      </c>
      <c r="N351">
        <v>1488565</v>
      </c>
      <c r="O351">
        <v>1592722</v>
      </c>
      <c r="P351">
        <v>1593058</v>
      </c>
    </row>
    <row r="352" spans="1:17" x14ac:dyDescent="0.25">
      <c r="A352" t="s">
        <v>1049</v>
      </c>
      <c r="B352" t="s">
        <v>1050</v>
      </c>
      <c r="C352" t="s">
        <v>16</v>
      </c>
      <c r="D352" t="s">
        <v>1050</v>
      </c>
      <c r="E352" t="s">
        <v>1051</v>
      </c>
      <c r="F352" t="s">
        <v>18</v>
      </c>
      <c r="G352" t="s">
        <v>1052</v>
      </c>
      <c r="H352" t="s">
        <v>1053</v>
      </c>
      <c r="I352" t="s">
        <v>1054</v>
      </c>
      <c r="J352" t="s">
        <v>22</v>
      </c>
      <c r="K352">
        <v>33738</v>
      </c>
      <c r="L352">
        <v>607999</v>
      </c>
      <c r="M352" t="s">
        <v>1055</v>
      </c>
      <c r="N352">
        <v>332435</v>
      </c>
      <c r="P352">
        <v>861783</v>
      </c>
      <c r="Q352" t="s">
        <v>84</v>
      </c>
    </row>
    <row r="353" spans="1:17" x14ac:dyDescent="0.25">
      <c r="A353" t="s">
        <v>1049</v>
      </c>
      <c r="B353" t="s">
        <v>1050</v>
      </c>
      <c r="C353" t="s">
        <v>16</v>
      </c>
      <c r="D353" t="s">
        <v>1050</v>
      </c>
      <c r="E353" t="s">
        <v>1051</v>
      </c>
      <c r="F353" t="s">
        <v>18</v>
      </c>
      <c r="G353" t="s">
        <v>667</v>
      </c>
      <c r="H353" t="s">
        <v>668</v>
      </c>
      <c r="I353" t="s">
        <v>1056</v>
      </c>
      <c r="J353" t="s">
        <v>22</v>
      </c>
      <c r="K353" t="s">
        <v>670</v>
      </c>
      <c r="L353">
        <v>607999</v>
      </c>
      <c r="M353" t="s">
        <v>671</v>
      </c>
      <c r="N353">
        <v>860974</v>
      </c>
      <c r="P353">
        <v>861783</v>
      </c>
      <c r="Q353" t="s">
        <v>84</v>
      </c>
    </row>
    <row r="354" spans="1:17" x14ac:dyDescent="0.25">
      <c r="A354" t="s">
        <v>1057</v>
      </c>
      <c r="B354" t="s">
        <v>1058</v>
      </c>
      <c r="C354" t="s">
        <v>16</v>
      </c>
      <c r="D354" t="s">
        <v>1058</v>
      </c>
      <c r="E354" s="2" t="s">
        <v>1059</v>
      </c>
      <c r="F354" t="s">
        <v>18</v>
      </c>
      <c r="G354" t="s">
        <v>639</v>
      </c>
      <c r="H354" t="s">
        <v>640</v>
      </c>
      <c r="I354" t="s">
        <v>465</v>
      </c>
      <c r="J354" t="s">
        <v>22</v>
      </c>
      <c r="K354" t="s">
        <v>641</v>
      </c>
      <c r="L354">
        <v>214626</v>
      </c>
      <c r="N354">
        <v>316882</v>
      </c>
      <c r="O354">
        <v>200284</v>
      </c>
      <c r="Q354" t="s">
        <v>41</v>
      </c>
    </row>
    <row r="355" spans="1:17" x14ac:dyDescent="0.25">
      <c r="A355" t="s">
        <v>1057</v>
      </c>
      <c r="B355" t="s">
        <v>1058</v>
      </c>
      <c r="C355" t="s">
        <v>16</v>
      </c>
      <c r="D355" t="s">
        <v>1058</v>
      </c>
      <c r="E355" s="2" t="s">
        <v>1059</v>
      </c>
      <c r="F355" t="s">
        <v>18</v>
      </c>
      <c r="G355" t="s">
        <v>881</v>
      </c>
      <c r="H355" t="s">
        <v>882</v>
      </c>
      <c r="I355" t="s">
        <v>883</v>
      </c>
      <c r="J355" t="s">
        <v>22</v>
      </c>
      <c r="K355" t="s">
        <v>884</v>
      </c>
      <c r="L355">
        <v>214626</v>
      </c>
      <c r="N355">
        <v>316047</v>
      </c>
      <c r="O355">
        <v>200284</v>
      </c>
      <c r="Q355" t="s">
        <v>41</v>
      </c>
    </row>
    <row r="356" spans="1:17" x14ac:dyDescent="0.25">
      <c r="A356" t="s">
        <v>1060</v>
      </c>
      <c r="B356" t="s">
        <v>1061</v>
      </c>
      <c r="C356" t="s">
        <v>16</v>
      </c>
      <c r="D356" t="s">
        <v>1061</v>
      </c>
      <c r="E356" t="s">
        <v>1062</v>
      </c>
      <c r="F356" t="s">
        <v>18</v>
      </c>
      <c r="G356" t="s">
        <v>1416</v>
      </c>
      <c r="H356" t="s">
        <v>1063</v>
      </c>
      <c r="I356" t="s">
        <v>197</v>
      </c>
      <c r="J356" t="s">
        <v>22</v>
      </c>
      <c r="K356">
        <v>1347</v>
      </c>
      <c r="M356">
        <v>1348</v>
      </c>
    </row>
    <row r="357" spans="1:17" x14ac:dyDescent="0.25">
      <c r="A357" t="s">
        <v>1060</v>
      </c>
      <c r="B357" t="s">
        <v>1061</v>
      </c>
      <c r="C357" t="s">
        <v>16</v>
      </c>
      <c r="D357" t="s">
        <v>1061</v>
      </c>
      <c r="E357" t="s">
        <v>1062</v>
      </c>
      <c r="F357" t="s">
        <v>18</v>
      </c>
      <c r="G357" t="s">
        <v>42</v>
      </c>
      <c r="H357" t="s">
        <v>43</v>
      </c>
      <c r="I357" t="s">
        <v>768</v>
      </c>
      <c r="J357" t="s">
        <v>22</v>
      </c>
      <c r="K357">
        <v>25255</v>
      </c>
      <c r="M357" t="s">
        <v>45</v>
      </c>
    </row>
    <row r="358" spans="1:17" x14ac:dyDescent="0.25">
      <c r="A358" t="s">
        <v>1060</v>
      </c>
      <c r="B358" t="s">
        <v>1061</v>
      </c>
      <c r="C358" t="s">
        <v>16</v>
      </c>
      <c r="D358" t="s">
        <v>1061</v>
      </c>
      <c r="E358" t="s">
        <v>1062</v>
      </c>
      <c r="F358" t="s">
        <v>18</v>
      </c>
      <c r="G358" t="s">
        <v>1064</v>
      </c>
      <c r="H358" t="s">
        <v>1065</v>
      </c>
      <c r="I358" t="s">
        <v>1066</v>
      </c>
      <c r="J358" t="s">
        <v>22</v>
      </c>
      <c r="K358" t="s">
        <v>1067</v>
      </c>
    </row>
    <row r="359" spans="1:17" x14ac:dyDescent="0.25">
      <c r="A359" t="s">
        <v>1068</v>
      </c>
      <c r="B359" t="s">
        <v>1069</v>
      </c>
      <c r="C359" t="s">
        <v>16</v>
      </c>
      <c r="D359" t="s">
        <v>1069</v>
      </c>
      <c r="E359" s="2" t="s">
        <v>1070</v>
      </c>
      <c r="F359" t="s">
        <v>18</v>
      </c>
      <c r="G359" t="s">
        <v>1071</v>
      </c>
      <c r="H359" t="s">
        <v>1072</v>
      </c>
      <c r="I359" t="s">
        <v>1073</v>
      </c>
      <c r="J359" t="s">
        <v>22</v>
      </c>
      <c r="K359">
        <v>593411</v>
      </c>
      <c r="L359">
        <v>729717</v>
      </c>
      <c r="M359" t="s">
        <v>1074</v>
      </c>
      <c r="N359">
        <v>2709476</v>
      </c>
      <c r="O359">
        <v>2709484</v>
      </c>
      <c r="P359">
        <v>2709482</v>
      </c>
    </row>
    <row r="360" spans="1:17" x14ac:dyDescent="0.25">
      <c r="A360" t="s">
        <v>1068</v>
      </c>
      <c r="B360" t="s">
        <v>1069</v>
      </c>
      <c r="C360" t="s">
        <v>16</v>
      </c>
      <c r="D360" t="s">
        <v>1069</v>
      </c>
      <c r="E360" s="2" t="s">
        <v>1070</v>
      </c>
      <c r="F360" t="s">
        <v>18</v>
      </c>
      <c r="G360" t="s">
        <v>667</v>
      </c>
      <c r="H360" t="s">
        <v>668</v>
      </c>
      <c r="I360" t="s">
        <v>669</v>
      </c>
      <c r="J360" t="s">
        <v>22</v>
      </c>
      <c r="K360" t="s">
        <v>670</v>
      </c>
      <c r="L360">
        <v>729717</v>
      </c>
      <c r="M360" t="s">
        <v>671</v>
      </c>
      <c r="N360">
        <v>860974</v>
      </c>
      <c r="O360">
        <v>2709484</v>
      </c>
      <c r="P360">
        <v>2709482</v>
      </c>
      <c r="Q360" t="s">
        <v>84</v>
      </c>
    </row>
    <row r="361" spans="1:17" x14ac:dyDescent="0.25">
      <c r="A361" t="s">
        <v>1075</v>
      </c>
      <c r="B361" t="s">
        <v>1076</v>
      </c>
      <c r="C361" t="s">
        <v>16</v>
      </c>
      <c r="D361" t="s">
        <v>1076</v>
      </c>
      <c r="E361" t="s">
        <v>1077</v>
      </c>
      <c r="F361" t="s">
        <v>18</v>
      </c>
      <c r="G361" t="s">
        <v>1078</v>
      </c>
      <c r="H361" t="s">
        <v>1079</v>
      </c>
      <c r="I361" t="s">
        <v>518</v>
      </c>
      <c r="J361" t="s">
        <v>22</v>
      </c>
      <c r="K361" t="s">
        <v>1080</v>
      </c>
      <c r="L361">
        <v>1598392</v>
      </c>
      <c r="N361">
        <v>1545665</v>
      </c>
      <c r="O361">
        <v>1602119</v>
      </c>
      <c r="P361">
        <v>1602118</v>
      </c>
      <c r="Q361" t="s">
        <v>41</v>
      </c>
    </row>
    <row r="362" spans="1:17" x14ac:dyDescent="0.25">
      <c r="A362" t="s">
        <v>1075</v>
      </c>
      <c r="B362" t="s">
        <v>1076</v>
      </c>
      <c r="C362" t="s">
        <v>16</v>
      </c>
      <c r="D362" t="s">
        <v>1076</v>
      </c>
      <c r="E362" t="s">
        <v>1077</v>
      </c>
      <c r="F362" t="s">
        <v>18</v>
      </c>
      <c r="G362" t="s">
        <v>1081</v>
      </c>
      <c r="H362" t="s">
        <v>1082</v>
      </c>
      <c r="I362" t="s">
        <v>221</v>
      </c>
      <c r="J362" t="s">
        <v>22</v>
      </c>
      <c r="K362" t="s">
        <v>1083</v>
      </c>
      <c r="L362">
        <v>1598392</v>
      </c>
      <c r="N362">
        <v>1100700</v>
      </c>
      <c r="O362">
        <v>1602119</v>
      </c>
      <c r="P362">
        <v>1602118</v>
      </c>
      <c r="Q362" t="s">
        <v>41</v>
      </c>
    </row>
    <row r="363" spans="1:17" x14ac:dyDescent="0.25">
      <c r="A363" t="s">
        <v>1084</v>
      </c>
      <c r="B363" t="s">
        <v>1085</v>
      </c>
      <c r="C363" t="s">
        <v>16</v>
      </c>
      <c r="D363" t="s">
        <v>1085</v>
      </c>
      <c r="E363" s="2" t="s">
        <v>1086</v>
      </c>
      <c r="F363" t="s">
        <v>18</v>
      </c>
      <c r="G363" t="s">
        <v>1087</v>
      </c>
      <c r="H363" t="s">
        <v>1088</v>
      </c>
      <c r="I363" t="s">
        <v>265</v>
      </c>
      <c r="J363" t="s">
        <v>22</v>
      </c>
      <c r="K363" t="s">
        <v>1089</v>
      </c>
      <c r="Q363" t="s">
        <v>41</v>
      </c>
    </row>
    <row r="364" spans="1:17" x14ac:dyDescent="0.25">
      <c r="A364" t="s">
        <v>1084</v>
      </c>
      <c r="B364" t="s">
        <v>1085</v>
      </c>
      <c r="C364" t="s">
        <v>16</v>
      </c>
      <c r="D364" t="s">
        <v>1085</v>
      </c>
      <c r="E364" s="2" t="s">
        <v>1086</v>
      </c>
      <c r="F364" t="s">
        <v>18</v>
      </c>
      <c r="G364" t="s">
        <v>330</v>
      </c>
      <c r="H364" t="s">
        <v>331</v>
      </c>
      <c r="I364" t="s">
        <v>316</v>
      </c>
      <c r="J364" t="s">
        <v>39</v>
      </c>
      <c r="K364" t="s">
        <v>333</v>
      </c>
    </row>
    <row r="365" spans="1:17" x14ac:dyDescent="0.25">
      <c r="A365" t="s">
        <v>1084</v>
      </c>
      <c r="B365" t="s">
        <v>1085</v>
      </c>
      <c r="C365" t="s">
        <v>16</v>
      </c>
      <c r="D365" t="s">
        <v>1085</v>
      </c>
      <c r="E365" s="2" t="s">
        <v>1086</v>
      </c>
      <c r="F365" t="s">
        <v>18</v>
      </c>
      <c r="G365" t="s">
        <v>553</v>
      </c>
      <c r="H365" t="s">
        <v>554</v>
      </c>
      <c r="I365" t="s">
        <v>491</v>
      </c>
      <c r="J365" t="s">
        <v>22</v>
      </c>
      <c r="K365" t="s">
        <v>555</v>
      </c>
      <c r="M365" t="s">
        <v>556</v>
      </c>
      <c r="Q365" t="s">
        <v>84</v>
      </c>
    </row>
    <row r="366" spans="1:17" x14ac:dyDescent="0.25">
      <c r="A366" t="s">
        <v>1090</v>
      </c>
      <c r="B366" t="s">
        <v>1091</v>
      </c>
      <c r="C366" t="s">
        <v>16</v>
      </c>
      <c r="D366" t="s">
        <v>1091</v>
      </c>
      <c r="E366" t="s">
        <v>1092</v>
      </c>
      <c r="F366" t="s">
        <v>18</v>
      </c>
      <c r="G366" t="s">
        <v>785</v>
      </c>
      <c r="H366" t="s">
        <v>786</v>
      </c>
      <c r="I366" t="s">
        <v>787</v>
      </c>
      <c r="J366" t="s">
        <v>22</v>
      </c>
      <c r="K366" t="s">
        <v>788</v>
      </c>
      <c r="Q366" t="s">
        <v>41</v>
      </c>
    </row>
    <row r="367" spans="1:17" x14ac:dyDescent="0.25">
      <c r="A367" t="s">
        <v>1090</v>
      </c>
      <c r="B367" t="s">
        <v>1091</v>
      </c>
      <c r="C367" t="s">
        <v>16</v>
      </c>
      <c r="D367" t="s">
        <v>1091</v>
      </c>
      <c r="E367" t="s">
        <v>1092</v>
      </c>
      <c r="F367" t="s">
        <v>18</v>
      </c>
      <c r="G367" t="s">
        <v>390</v>
      </c>
      <c r="H367" t="s">
        <v>391</v>
      </c>
      <c r="I367" t="s">
        <v>789</v>
      </c>
      <c r="J367" t="s">
        <v>22</v>
      </c>
      <c r="K367" t="s">
        <v>393</v>
      </c>
      <c r="Q367" t="s">
        <v>41</v>
      </c>
    </row>
    <row r="368" spans="1:17" x14ac:dyDescent="0.25">
      <c r="A368" t="s">
        <v>1090</v>
      </c>
      <c r="B368" t="s">
        <v>1091</v>
      </c>
      <c r="C368" t="s">
        <v>16</v>
      </c>
      <c r="D368" t="s">
        <v>1091</v>
      </c>
      <c r="E368" t="s">
        <v>1092</v>
      </c>
      <c r="F368" t="s">
        <v>18</v>
      </c>
      <c r="G368" t="s">
        <v>631</v>
      </c>
      <c r="H368" t="s">
        <v>632</v>
      </c>
      <c r="I368" t="s">
        <v>1093</v>
      </c>
      <c r="J368" t="s">
        <v>22</v>
      </c>
      <c r="K368" t="s">
        <v>633</v>
      </c>
      <c r="M368" t="s">
        <v>634</v>
      </c>
      <c r="Q368" t="s">
        <v>84</v>
      </c>
    </row>
    <row r="369" spans="1:17" x14ac:dyDescent="0.25">
      <c r="A369" t="s">
        <v>1094</v>
      </c>
      <c r="B369" t="s">
        <v>1095</v>
      </c>
      <c r="C369" t="s">
        <v>16</v>
      </c>
      <c r="D369" t="s">
        <v>1095</v>
      </c>
      <c r="E369" t="s">
        <v>1096</v>
      </c>
      <c r="F369" t="s">
        <v>18</v>
      </c>
      <c r="G369" t="s">
        <v>639</v>
      </c>
      <c r="H369" t="s">
        <v>640</v>
      </c>
      <c r="I369" t="s">
        <v>38</v>
      </c>
      <c r="J369" t="s">
        <v>22</v>
      </c>
      <c r="K369" t="s">
        <v>641</v>
      </c>
      <c r="L369">
        <v>729455</v>
      </c>
      <c r="N369">
        <v>316881</v>
      </c>
      <c r="P369">
        <v>722134</v>
      </c>
      <c r="Q369" t="s">
        <v>41</v>
      </c>
    </row>
    <row r="370" spans="1:17" x14ac:dyDescent="0.25">
      <c r="A370" t="s">
        <v>1094</v>
      </c>
      <c r="B370" t="s">
        <v>1095</v>
      </c>
      <c r="C370" t="s">
        <v>16</v>
      </c>
      <c r="D370" t="s">
        <v>1095</v>
      </c>
      <c r="E370" t="s">
        <v>1096</v>
      </c>
      <c r="F370" t="s">
        <v>18</v>
      </c>
      <c r="G370" t="s">
        <v>368</v>
      </c>
      <c r="H370" t="s">
        <v>369</v>
      </c>
      <c r="I370" t="s">
        <v>638</v>
      </c>
      <c r="J370" t="s">
        <v>22</v>
      </c>
      <c r="K370">
        <v>17767</v>
      </c>
      <c r="L370">
        <v>729455</v>
      </c>
      <c r="M370" t="s">
        <v>371</v>
      </c>
      <c r="N370">
        <v>329528</v>
      </c>
      <c r="P370">
        <v>722134</v>
      </c>
      <c r="Q370" t="s">
        <v>84</v>
      </c>
    </row>
    <row r="371" spans="1:17" x14ac:dyDescent="0.25">
      <c r="A371" t="s">
        <v>1097</v>
      </c>
      <c r="B371" t="s">
        <v>1098</v>
      </c>
      <c r="C371" t="s">
        <v>16</v>
      </c>
      <c r="D371" t="s">
        <v>1098</v>
      </c>
      <c r="E371" t="s">
        <v>1099</v>
      </c>
      <c r="F371" t="s">
        <v>18</v>
      </c>
      <c r="G371" t="s">
        <v>1100</v>
      </c>
      <c r="H371" t="s">
        <v>1101</v>
      </c>
      <c r="I371" t="s">
        <v>1102</v>
      </c>
      <c r="J371" t="s">
        <v>39</v>
      </c>
      <c r="K371" t="s">
        <v>1067</v>
      </c>
      <c r="M371" t="s">
        <v>1103</v>
      </c>
      <c r="Q371" t="s">
        <v>84</v>
      </c>
    </row>
    <row r="372" spans="1:17" x14ac:dyDescent="0.25">
      <c r="A372" t="s">
        <v>1097</v>
      </c>
      <c r="B372" t="s">
        <v>1098</v>
      </c>
      <c r="C372" t="s">
        <v>16</v>
      </c>
      <c r="D372" t="s">
        <v>1098</v>
      </c>
      <c r="E372" t="s">
        <v>1099</v>
      </c>
      <c r="F372" t="s">
        <v>18</v>
      </c>
      <c r="G372" t="s">
        <v>42</v>
      </c>
      <c r="H372" t="s">
        <v>43</v>
      </c>
      <c r="I372" t="s">
        <v>221</v>
      </c>
      <c r="J372" t="s">
        <v>39</v>
      </c>
      <c r="M372" t="s">
        <v>45</v>
      </c>
    </row>
    <row r="373" spans="1:17" x14ac:dyDescent="0.25">
      <c r="A373" t="s">
        <v>1104</v>
      </c>
      <c r="B373" t="s">
        <v>1105</v>
      </c>
      <c r="C373" t="s">
        <v>16</v>
      </c>
      <c r="D373" t="s">
        <v>1105</v>
      </c>
      <c r="E373" t="s">
        <v>1106</v>
      </c>
      <c r="F373" t="s">
        <v>18</v>
      </c>
      <c r="G373" t="s">
        <v>1107</v>
      </c>
      <c r="H373" t="s">
        <v>1108</v>
      </c>
      <c r="I373" t="s">
        <v>669</v>
      </c>
      <c r="J373" t="s">
        <v>22</v>
      </c>
      <c r="K373">
        <v>2184</v>
      </c>
      <c r="M373" t="s">
        <v>1109</v>
      </c>
    </row>
    <row r="374" spans="1:17" x14ac:dyDescent="0.25">
      <c r="A374" t="s">
        <v>1104</v>
      </c>
      <c r="B374" t="s">
        <v>1105</v>
      </c>
      <c r="C374" t="s">
        <v>16</v>
      </c>
      <c r="D374" t="s">
        <v>1105</v>
      </c>
      <c r="E374" t="s">
        <v>1106</v>
      </c>
      <c r="F374" t="s">
        <v>18</v>
      </c>
      <c r="G374" t="s">
        <v>896</v>
      </c>
      <c r="H374" t="s">
        <v>897</v>
      </c>
      <c r="I374" t="s">
        <v>669</v>
      </c>
      <c r="J374" t="s">
        <v>22</v>
      </c>
      <c r="K374">
        <v>10167</v>
      </c>
      <c r="M374">
        <v>82100</v>
      </c>
    </row>
    <row r="375" spans="1:17" x14ac:dyDescent="0.25">
      <c r="A375" t="s">
        <v>1104</v>
      </c>
      <c r="B375" t="s">
        <v>1105</v>
      </c>
      <c r="C375" t="s">
        <v>16</v>
      </c>
      <c r="D375" t="s">
        <v>1105</v>
      </c>
      <c r="E375" t="s">
        <v>1106</v>
      </c>
      <c r="F375" t="s">
        <v>18</v>
      </c>
      <c r="G375" t="s">
        <v>1107</v>
      </c>
      <c r="H375" t="s">
        <v>1108</v>
      </c>
      <c r="I375" t="s">
        <v>29</v>
      </c>
      <c r="J375" t="s">
        <v>22</v>
      </c>
      <c r="K375">
        <v>2184</v>
      </c>
      <c r="M375" t="s">
        <v>1109</v>
      </c>
    </row>
    <row r="376" spans="1:17" x14ac:dyDescent="0.25">
      <c r="A376" t="s">
        <v>1104</v>
      </c>
      <c r="B376" t="s">
        <v>1105</v>
      </c>
      <c r="C376" t="s">
        <v>16</v>
      </c>
      <c r="D376" t="s">
        <v>1105</v>
      </c>
      <c r="E376" t="s">
        <v>1106</v>
      </c>
      <c r="F376" t="s">
        <v>18</v>
      </c>
      <c r="G376" t="s">
        <v>896</v>
      </c>
      <c r="H376" t="s">
        <v>897</v>
      </c>
      <c r="I376" t="s">
        <v>29</v>
      </c>
      <c r="J376" t="s">
        <v>22</v>
      </c>
      <c r="K376">
        <v>10167</v>
      </c>
      <c r="M376">
        <v>82100</v>
      </c>
    </row>
    <row r="377" spans="1:17" x14ac:dyDescent="0.25">
      <c r="A377" t="s">
        <v>1104</v>
      </c>
      <c r="B377" t="s">
        <v>1105</v>
      </c>
      <c r="C377" t="s">
        <v>16</v>
      </c>
      <c r="D377" t="s">
        <v>1105</v>
      </c>
      <c r="E377" t="s">
        <v>1106</v>
      </c>
      <c r="F377" t="s">
        <v>18</v>
      </c>
      <c r="G377" t="s">
        <v>1107</v>
      </c>
      <c r="H377" t="s">
        <v>1108</v>
      </c>
      <c r="I377" t="s">
        <v>997</v>
      </c>
      <c r="J377" t="s">
        <v>22</v>
      </c>
      <c r="K377">
        <v>2184</v>
      </c>
      <c r="M377" t="s">
        <v>1109</v>
      </c>
    </row>
    <row r="378" spans="1:17" x14ac:dyDescent="0.25">
      <c r="A378" t="s">
        <v>1104</v>
      </c>
      <c r="B378" t="s">
        <v>1105</v>
      </c>
      <c r="C378" t="s">
        <v>16</v>
      </c>
      <c r="D378" t="s">
        <v>1105</v>
      </c>
      <c r="E378" t="s">
        <v>1106</v>
      </c>
      <c r="F378" t="s">
        <v>18</v>
      </c>
      <c r="G378" t="s">
        <v>896</v>
      </c>
      <c r="H378" t="s">
        <v>897</v>
      </c>
      <c r="I378" t="s">
        <v>997</v>
      </c>
      <c r="J378" t="s">
        <v>22</v>
      </c>
      <c r="K378">
        <v>10167</v>
      </c>
      <c r="M378">
        <v>82100</v>
      </c>
    </row>
    <row r="379" spans="1:17" x14ac:dyDescent="0.25">
      <c r="A379" t="s">
        <v>1110</v>
      </c>
      <c r="B379" t="s">
        <v>1111</v>
      </c>
      <c r="C379" t="s">
        <v>16</v>
      </c>
      <c r="D379" t="s">
        <v>1111</v>
      </c>
      <c r="E379" t="s">
        <v>1112</v>
      </c>
      <c r="F379" t="s">
        <v>18</v>
      </c>
      <c r="G379" t="s">
        <v>1113</v>
      </c>
      <c r="H379" t="s">
        <v>1114</v>
      </c>
      <c r="I379" t="s">
        <v>1115</v>
      </c>
      <c r="J379" t="s">
        <v>22</v>
      </c>
      <c r="K379">
        <v>4124</v>
      </c>
      <c r="L379">
        <v>1007814</v>
      </c>
      <c r="N379">
        <v>317633</v>
      </c>
      <c r="P379">
        <v>248822</v>
      </c>
    </row>
    <row r="380" spans="1:17" x14ac:dyDescent="0.25">
      <c r="A380" t="s">
        <v>1110</v>
      </c>
      <c r="B380" t="s">
        <v>1111</v>
      </c>
      <c r="C380" t="s">
        <v>16</v>
      </c>
      <c r="D380" t="s">
        <v>1111</v>
      </c>
      <c r="E380" t="s">
        <v>1112</v>
      </c>
      <c r="F380" t="s">
        <v>18</v>
      </c>
      <c r="G380" t="s">
        <v>1116</v>
      </c>
      <c r="H380" t="s">
        <v>1117</v>
      </c>
      <c r="I380" t="s">
        <v>491</v>
      </c>
      <c r="J380" t="s">
        <v>22</v>
      </c>
      <c r="K380" s="3">
        <v>3014</v>
      </c>
      <c r="L380">
        <v>1007814</v>
      </c>
      <c r="M380" t="s">
        <v>1118</v>
      </c>
      <c r="N380">
        <v>336667</v>
      </c>
      <c r="P380">
        <v>248822</v>
      </c>
    </row>
    <row r="381" spans="1:17" x14ac:dyDescent="0.25">
      <c r="A381" t="s">
        <v>1119</v>
      </c>
      <c r="B381" t="s">
        <v>1120</v>
      </c>
      <c r="C381" t="s">
        <v>16</v>
      </c>
      <c r="D381" t="s">
        <v>1120</v>
      </c>
      <c r="E381" s="2" t="s">
        <v>1121</v>
      </c>
      <c r="F381" t="s">
        <v>18</v>
      </c>
      <c r="G381" t="s">
        <v>36</v>
      </c>
      <c r="H381" t="s">
        <v>37</v>
      </c>
      <c r="I381" t="s">
        <v>38</v>
      </c>
      <c r="J381" t="s">
        <v>1122</v>
      </c>
      <c r="K381" t="s">
        <v>40</v>
      </c>
      <c r="L381">
        <v>389132</v>
      </c>
      <c r="N381">
        <v>393396</v>
      </c>
      <c r="O381">
        <v>1246305</v>
      </c>
      <c r="P381">
        <v>1246304</v>
      </c>
      <c r="Q381" t="s">
        <v>41</v>
      </c>
    </row>
    <row r="382" spans="1:17" x14ac:dyDescent="0.25">
      <c r="A382" t="s">
        <v>1119</v>
      </c>
      <c r="B382" t="s">
        <v>1120</v>
      </c>
      <c r="C382" t="s">
        <v>16</v>
      </c>
      <c r="D382" t="s">
        <v>1120</v>
      </c>
      <c r="E382" s="2" t="s">
        <v>1121</v>
      </c>
      <c r="F382" t="s">
        <v>18</v>
      </c>
      <c r="G382" t="s">
        <v>42</v>
      </c>
      <c r="H382" t="s">
        <v>43</v>
      </c>
      <c r="I382" t="s">
        <v>44</v>
      </c>
      <c r="J382" t="s">
        <v>1122</v>
      </c>
      <c r="K382">
        <v>25255</v>
      </c>
      <c r="L382">
        <v>389132</v>
      </c>
      <c r="M382" t="s">
        <v>45</v>
      </c>
      <c r="N382">
        <v>1246287</v>
      </c>
      <c r="O382">
        <v>1246305</v>
      </c>
      <c r="P382">
        <v>1246304</v>
      </c>
    </row>
    <row r="383" spans="1:17" x14ac:dyDescent="0.25">
      <c r="A383" t="s">
        <v>1123</v>
      </c>
      <c r="B383" t="s">
        <v>1124</v>
      </c>
      <c r="C383" t="s">
        <v>16</v>
      </c>
      <c r="D383" t="s">
        <v>1124</v>
      </c>
      <c r="E383" t="s">
        <v>1125</v>
      </c>
      <c r="F383" t="s">
        <v>18</v>
      </c>
      <c r="G383" t="s">
        <v>1126</v>
      </c>
      <c r="H383" t="s">
        <v>1127</v>
      </c>
      <c r="I383" t="s">
        <v>194</v>
      </c>
      <c r="J383" t="s">
        <v>22</v>
      </c>
      <c r="K383">
        <v>3264</v>
      </c>
      <c r="M383">
        <v>235486</v>
      </c>
    </row>
    <row r="384" spans="1:17" x14ac:dyDescent="0.25">
      <c r="A384" t="s">
        <v>1123</v>
      </c>
      <c r="B384" t="s">
        <v>1124</v>
      </c>
      <c r="C384" t="s">
        <v>16</v>
      </c>
      <c r="D384" t="s">
        <v>1124</v>
      </c>
      <c r="E384" t="s">
        <v>1125</v>
      </c>
      <c r="F384" t="s">
        <v>18</v>
      </c>
      <c r="G384" t="s">
        <v>397</v>
      </c>
      <c r="H384" t="s">
        <v>398</v>
      </c>
      <c r="I384" t="s">
        <v>221</v>
      </c>
      <c r="J384" t="s">
        <v>22</v>
      </c>
      <c r="K384" t="s">
        <v>399</v>
      </c>
    </row>
    <row r="385" spans="1:17" x14ac:dyDescent="0.25">
      <c r="A385" t="s">
        <v>1128</v>
      </c>
      <c r="B385" t="s">
        <v>1129</v>
      </c>
      <c r="C385" t="s">
        <v>16</v>
      </c>
      <c r="D385" t="s">
        <v>1129</v>
      </c>
      <c r="E385" t="s">
        <v>1130</v>
      </c>
      <c r="F385" t="s">
        <v>18</v>
      </c>
      <c r="G385" t="s">
        <v>406</v>
      </c>
      <c r="H385" t="s">
        <v>407</v>
      </c>
      <c r="I385" t="s">
        <v>149</v>
      </c>
      <c r="J385" t="s">
        <v>22</v>
      </c>
      <c r="K385">
        <v>8896</v>
      </c>
      <c r="M385" t="s">
        <v>409</v>
      </c>
    </row>
    <row r="386" spans="1:17" x14ac:dyDescent="0.25">
      <c r="A386" t="s">
        <v>1128</v>
      </c>
      <c r="B386" t="s">
        <v>1129</v>
      </c>
      <c r="C386" t="s">
        <v>16</v>
      </c>
      <c r="D386" t="s">
        <v>1129</v>
      </c>
      <c r="E386" t="s">
        <v>1130</v>
      </c>
      <c r="F386" t="s">
        <v>18</v>
      </c>
      <c r="G386" t="s">
        <v>1131</v>
      </c>
      <c r="H386" t="s">
        <v>1132</v>
      </c>
      <c r="I386" t="s">
        <v>495</v>
      </c>
      <c r="J386" t="s">
        <v>22</v>
      </c>
      <c r="K386" t="s">
        <v>1133</v>
      </c>
    </row>
    <row r="387" spans="1:17" x14ac:dyDescent="0.25">
      <c r="A387" t="s">
        <v>1134</v>
      </c>
      <c r="B387" t="s">
        <v>1135</v>
      </c>
      <c r="C387" t="s">
        <v>16</v>
      </c>
      <c r="D387" t="s">
        <v>1135</v>
      </c>
      <c r="E387" t="s">
        <v>1136</v>
      </c>
      <c r="F387" t="s">
        <v>18</v>
      </c>
      <c r="G387" t="s">
        <v>561</v>
      </c>
      <c r="H387" t="s">
        <v>562</v>
      </c>
      <c r="I387" t="s">
        <v>358</v>
      </c>
      <c r="J387" t="s">
        <v>22</v>
      </c>
      <c r="K387">
        <v>1514</v>
      </c>
      <c r="M387" t="s">
        <v>563</v>
      </c>
    </row>
    <row r="388" spans="1:17" x14ac:dyDescent="0.25">
      <c r="A388" t="s">
        <v>1134</v>
      </c>
      <c r="B388" t="s">
        <v>1135</v>
      </c>
      <c r="C388" t="s">
        <v>16</v>
      </c>
      <c r="D388" t="s">
        <v>1135</v>
      </c>
      <c r="E388" t="s">
        <v>1136</v>
      </c>
      <c r="F388" t="s">
        <v>18</v>
      </c>
      <c r="G388" t="s">
        <v>806</v>
      </c>
      <c r="H388" t="s">
        <v>807</v>
      </c>
      <c r="I388" t="s">
        <v>259</v>
      </c>
      <c r="J388" t="s">
        <v>22</v>
      </c>
      <c r="K388" t="s">
        <v>808</v>
      </c>
      <c r="Q388" t="s">
        <v>41</v>
      </c>
    </row>
    <row r="389" spans="1:17" x14ac:dyDescent="0.25">
      <c r="A389" t="s">
        <v>1134</v>
      </c>
      <c r="B389" t="s">
        <v>1135</v>
      </c>
      <c r="C389" t="s">
        <v>16</v>
      </c>
      <c r="D389" t="s">
        <v>1135</v>
      </c>
      <c r="E389" t="s">
        <v>1136</v>
      </c>
      <c r="F389" t="s">
        <v>18</v>
      </c>
      <c r="G389" t="s">
        <v>1137</v>
      </c>
      <c r="H389" t="s">
        <v>1138</v>
      </c>
      <c r="I389" t="s">
        <v>194</v>
      </c>
      <c r="J389" t="s">
        <v>22</v>
      </c>
      <c r="K389" t="s">
        <v>1139</v>
      </c>
      <c r="M389" t="s">
        <v>1140</v>
      </c>
      <c r="Q389" t="s">
        <v>84</v>
      </c>
    </row>
    <row r="390" spans="1:17" x14ac:dyDescent="0.25">
      <c r="A390" t="s">
        <v>1141</v>
      </c>
      <c r="B390" t="s">
        <v>1142</v>
      </c>
      <c r="C390" t="s">
        <v>16</v>
      </c>
      <c r="D390" t="s">
        <v>1142</v>
      </c>
      <c r="E390" t="s">
        <v>1143</v>
      </c>
      <c r="F390" t="s">
        <v>18</v>
      </c>
      <c r="G390" t="s">
        <v>1144</v>
      </c>
      <c r="H390" t="s">
        <v>1145</v>
      </c>
      <c r="I390" t="s">
        <v>1146</v>
      </c>
      <c r="J390" t="s">
        <v>526</v>
      </c>
      <c r="K390" t="s">
        <v>1147</v>
      </c>
      <c r="Q390" t="s">
        <v>41</v>
      </c>
    </row>
    <row r="391" spans="1:17" x14ac:dyDescent="0.25">
      <c r="A391" t="s">
        <v>1141</v>
      </c>
      <c r="B391" t="s">
        <v>1142</v>
      </c>
      <c r="C391" t="s">
        <v>16</v>
      </c>
      <c r="D391" t="s">
        <v>1142</v>
      </c>
      <c r="E391" t="s">
        <v>1143</v>
      </c>
      <c r="F391" t="s">
        <v>18</v>
      </c>
      <c r="G391" t="s">
        <v>397</v>
      </c>
      <c r="H391" t="s">
        <v>398</v>
      </c>
      <c r="I391" t="s">
        <v>127</v>
      </c>
      <c r="J391" t="s">
        <v>22</v>
      </c>
      <c r="K391" t="s">
        <v>399</v>
      </c>
    </row>
    <row r="392" spans="1:17" x14ac:dyDescent="0.25">
      <c r="A392" t="s">
        <v>1141</v>
      </c>
      <c r="B392" t="s">
        <v>1142</v>
      </c>
      <c r="C392" t="s">
        <v>16</v>
      </c>
      <c r="D392" t="s">
        <v>1142</v>
      </c>
      <c r="E392" t="s">
        <v>1143</v>
      </c>
      <c r="F392" t="s">
        <v>18</v>
      </c>
      <c r="G392" t="s">
        <v>1148</v>
      </c>
      <c r="H392" t="s">
        <v>1149</v>
      </c>
      <c r="I392" t="s">
        <v>495</v>
      </c>
      <c r="J392" t="s">
        <v>22</v>
      </c>
      <c r="K392" t="s">
        <v>1150</v>
      </c>
      <c r="Q392" t="s">
        <v>41</v>
      </c>
    </row>
    <row r="393" spans="1:17" x14ac:dyDescent="0.25">
      <c r="A393" t="s">
        <v>1141</v>
      </c>
      <c r="B393" t="s">
        <v>1142</v>
      </c>
      <c r="C393" t="s">
        <v>16</v>
      </c>
      <c r="D393" t="s">
        <v>1142</v>
      </c>
      <c r="E393" t="s">
        <v>1143</v>
      </c>
      <c r="F393" t="s">
        <v>18</v>
      </c>
      <c r="G393" t="s">
        <v>400</v>
      </c>
      <c r="H393" t="s">
        <v>401</v>
      </c>
      <c r="I393" t="s">
        <v>194</v>
      </c>
      <c r="J393" t="s">
        <v>22</v>
      </c>
      <c r="K393">
        <v>10759</v>
      </c>
      <c r="M393" t="s">
        <v>402</v>
      </c>
      <c r="Q393" t="s">
        <v>84</v>
      </c>
    </row>
    <row r="394" spans="1:17" x14ac:dyDescent="0.25">
      <c r="A394" t="s">
        <v>1151</v>
      </c>
      <c r="B394" t="s">
        <v>1152</v>
      </c>
      <c r="C394" t="s">
        <v>16</v>
      </c>
      <c r="D394" t="s">
        <v>1152</v>
      </c>
      <c r="E394" s="2" t="s">
        <v>1153</v>
      </c>
      <c r="F394" t="s">
        <v>18</v>
      </c>
      <c r="G394" t="s">
        <v>1154</v>
      </c>
      <c r="H394" t="s">
        <v>1155</v>
      </c>
      <c r="I394" t="s">
        <v>221</v>
      </c>
      <c r="J394" t="s">
        <v>22</v>
      </c>
      <c r="K394" t="s">
        <v>1156</v>
      </c>
      <c r="L394">
        <v>1727500</v>
      </c>
      <c r="M394" t="s">
        <v>1157</v>
      </c>
      <c r="N394">
        <v>858034</v>
      </c>
      <c r="P394">
        <v>1925498</v>
      </c>
      <c r="Q394" t="s">
        <v>84</v>
      </c>
    </row>
    <row r="395" spans="1:17" x14ac:dyDescent="0.25">
      <c r="A395" t="s">
        <v>1151</v>
      </c>
      <c r="B395" t="s">
        <v>1152</v>
      </c>
      <c r="C395" t="s">
        <v>16</v>
      </c>
      <c r="D395" t="s">
        <v>1152</v>
      </c>
      <c r="E395" s="2" t="s">
        <v>1153</v>
      </c>
      <c r="F395" t="s">
        <v>18</v>
      </c>
      <c r="G395" t="s">
        <v>1045</v>
      </c>
      <c r="H395" t="s">
        <v>1046</v>
      </c>
      <c r="I395" t="s">
        <v>1047</v>
      </c>
      <c r="J395" t="s">
        <v>22</v>
      </c>
      <c r="K395">
        <v>1488564</v>
      </c>
      <c r="L395">
        <v>1727500</v>
      </c>
      <c r="M395" t="s">
        <v>1048</v>
      </c>
      <c r="N395">
        <v>1488565</v>
      </c>
      <c r="P395">
        <v>1925498</v>
      </c>
    </row>
    <row r="396" spans="1:17" x14ac:dyDescent="0.25">
      <c r="A396" t="s">
        <v>1158</v>
      </c>
      <c r="B396" t="s">
        <v>1159</v>
      </c>
      <c r="C396" t="s">
        <v>16</v>
      </c>
      <c r="D396" t="s">
        <v>1159</v>
      </c>
      <c r="E396" t="s">
        <v>1160</v>
      </c>
      <c r="F396" t="s">
        <v>18</v>
      </c>
      <c r="G396" t="s">
        <v>1161</v>
      </c>
      <c r="H396" t="s">
        <v>1162</v>
      </c>
      <c r="I396" t="s">
        <v>1163</v>
      </c>
      <c r="J396" t="s">
        <v>22</v>
      </c>
      <c r="K396">
        <v>40254</v>
      </c>
      <c r="M396" t="s">
        <v>1164</v>
      </c>
    </row>
    <row r="397" spans="1:17" x14ac:dyDescent="0.25">
      <c r="A397" t="s">
        <v>1158</v>
      </c>
      <c r="B397" t="s">
        <v>1159</v>
      </c>
      <c r="C397" t="s">
        <v>16</v>
      </c>
      <c r="D397" t="s">
        <v>1159</v>
      </c>
      <c r="E397" t="s">
        <v>1160</v>
      </c>
      <c r="F397" t="s">
        <v>18</v>
      </c>
      <c r="G397" t="s">
        <v>1165</v>
      </c>
      <c r="H397" t="s">
        <v>1166</v>
      </c>
      <c r="I397" t="s">
        <v>1167</v>
      </c>
      <c r="J397" t="s">
        <v>22</v>
      </c>
      <c r="K397">
        <v>40254</v>
      </c>
      <c r="M397" t="s">
        <v>1168</v>
      </c>
      <c r="Q397" t="s">
        <v>84</v>
      </c>
    </row>
    <row r="398" spans="1:17" x14ac:dyDescent="0.25">
      <c r="A398" t="s">
        <v>1169</v>
      </c>
      <c r="B398" t="s">
        <v>1170</v>
      </c>
      <c r="C398" t="s">
        <v>16</v>
      </c>
      <c r="D398" t="s">
        <v>1170</v>
      </c>
      <c r="E398" t="s">
        <v>1171</v>
      </c>
      <c r="F398" t="s">
        <v>18</v>
      </c>
      <c r="G398" t="s">
        <v>85</v>
      </c>
      <c r="H398" t="s">
        <v>86</v>
      </c>
      <c r="I398" t="s">
        <v>144</v>
      </c>
      <c r="J398" t="s">
        <v>22</v>
      </c>
      <c r="K398">
        <v>1901</v>
      </c>
      <c r="M398" t="s">
        <v>88</v>
      </c>
    </row>
    <row r="399" spans="1:17" x14ac:dyDescent="0.25">
      <c r="A399" t="s">
        <v>1169</v>
      </c>
      <c r="B399" t="s">
        <v>1170</v>
      </c>
      <c r="C399" t="s">
        <v>16</v>
      </c>
      <c r="D399" t="s">
        <v>1170</v>
      </c>
      <c r="E399" t="s">
        <v>1171</v>
      </c>
      <c r="F399" t="s">
        <v>18</v>
      </c>
      <c r="G399" t="s">
        <v>145</v>
      </c>
      <c r="H399" t="s">
        <v>146</v>
      </c>
      <c r="I399" t="s">
        <v>70</v>
      </c>
      <c r="J399" t="s">
        <v>22</v>
      </c>
      <c r="K399" t="s">
        <v>147</v>
      </c>
      <c r="M399" t="s">
        <v>148</v>
      </c>
      <c r="Q399" t="s">
        <v>84</v>
      </c>
    </row>
    <row r="400" spans="1:17" x14ac:dyDescent="0.25">
      <c r="A400" t="s">
        <v>1169</v>
      </c>
      <c r="B400" t="s">
        <v>1170</v>
      </c>
      <c r="C400" t="s">
        <v>16</v>
      </c>
      <c r="D400" t="s">
        <v>1170</v>
      </c>
      <c r="E400" t="s">
        <v>1171</v>
      </c>
      <c r="F400" t="s">
        <v>18</v>
      </c>
      <c r="G400" t="s">
        <v>76</v>
      </c>
      <c r="H400" t="s">
        <v>77</v>
      </c>
      <c r="I400" t="s">
        <v>149</v>
      </c>
      <c r="J400" t="s">
        <v>22</v>
      </c>
      <c r="K400" t="s">
        <v>79</v>
      </c>
      <c r="Q400" t="s">
        <v>41</v>
      </c>
    </row>
    <row r="401" spans="1:18" x14ac:dyDescent="0.25">
      <c r="A401" t="s">
        <v>1169</v>
      </c>
      <c r="B401" t="s">
        <v>1170</v>
      </c>
      <c r="C401" t="s">
        <v>16</v>
      </c>
      <c r="D401" t="s">
        <v>1170</v>
      </c>
      <c r="E401" t="s">
        <v>1171</v>
      </c>
      <c r="F401" t="s">
        <v>18</v>
      </c>
      <c r="G401" t="s">
        <v>1172</v>
      </c>
      <c r="H401" t="s">
        <v>1173</v>
      </c>
      <c r="I401" t="s">
        <v>1174</v>
      </c>
      <c r="J401" t="s">
        <v>22</v>
      </c>
      <c r="K401">
        <v>114202</v>
      </c>
      <c r="M401">
        <v>56489</v>
      </c>
    </row>
    <row r="402" spans="1:18" x14ac:dyDescent="0.25">
      <c r="A402" t="s">
        <v>1175</v>
      </c>
      <c r="B402" t="s">
        <v>1176</v>
      </c>
      <c r="C402" t="s">
        <v>1177</v>
      </c>
      <c r="D402" t="s">
        <v>1176</v>
      </c>
      <c r="E402" s="2" t="s">
        <v>1177</v>
      </c>
      <c r="F402" t="s">
        <v>18</v>
      </c>
      <c r="G402" t="s">
        <v>1087</v>
      </c>
      <c r="H402" t="s">
        <v>1088</v>
      </c>
      <c r="I402" t="s">
        <v>153</v>
      </c>
      <c r="J402" t="s">
        <v>22</v>
      </c>
      <c r="K402" t="s">
        <v>1089</v>
      </c>
      <c r="Q402" t="s">
        <v>41</v>
      </c>
      <c r="R402" t="str">
        <f>"https://rxnav.nlm.nih.gov/REST/brands?ingredientids="&amp;K402</f>
        <v>https://rxnav.nlm.nih.gov/REST/brands?ingredientids=24941</v>
      </c>
    </row>
    <row r="403" spans="1:18" x14ac:dyDescent="0.25">
      <c r="A403" t="s">
        <v>1175</v>
      </c>
      <c r="B403" t="s">
        <v>1176</v>
      </c>
      <c r="C403" t="s">
        <v>1177</v>
      </c>
      <c r="D403" t="s">
        <v>1176</v>
      </c>
      <c r="E403" s="2" t="s">
        <v>1177</v>
      </c>
      <c r="F403" t="s">
        <v>18</v>
      </c>
      <c r="G403" t="s">
        <v>553</v>
      </c>
      <c r="H403" t="s">
        <v>554</v>
      </c>
      <c r="I403" t="s">
        <v>491</v>
      </c>
      <c r="J403" t="s">
        <v>22</v>
      </c>
      <c r="K403" t="s">
        <v>555</v>
      </c>
      <c r="M403" t="s">
        <v>556</v>
      </c>
      <c r="Q403" t="s">
        <v>84</v>
      </c>
      <c r="R403" t="str">
        <f>R402&amp;"+"&amp;K403</f>
        <v>https://rxnav.nlm.nih.gov/REST/brands?ingredientids=24941+4511</v>
      </c>
    </row>
    <row r="404" spans="1:18" x14ac:dyDescent="0.25">
      <c r="A404" t="s">
        <v>1175</v>
      </c>
      <c r="B404" t="s">
        <v>1176</v>
      </c>
      <c r="C404" t="s">
        <v>1177</v>
      </c>
      <c r="D404" t="s">
        <v>1176</v>
      </c>
      <c r="E404" s="2" t="s">
        <v>1177</v>
      </c>
      <c r="F404" t="s">
        <v>18</v>
      </c>
      <c r="G404" t="s">
        <v>1178</v>
      </c>
      <c r="H404" t="s">
        <v>1179</v>
      </c>
      <c r="I404" t="s">
        <v>194</v>
      </c>
      <c r="J404" t="s">
        <v>22</v>
      </c>
      <c r="K404">
        <v>14054</v>
      </c>
      <c r="M404" t="s">
        <v>1180</v>
      </c>
      <c r="Q404" t="s">
        <v>84</v>
      </c>
      <c r="R404" t="str">
        <f t="shared" ref="R404:R407" si="3">R403&amp;"+"&amp;K404</f>
        <v>https://rxnav.nlm.nih.gov/REST/brands?ingredientids=24941+4511+14054</v>
      </c>
    </row>
    <row r="405" spans="1:18" x14ac:dyDescent="0.25">
      <c r="A405" t="s">
        <v>1175</v>
      </c>
      <c r="B405" t="s">
        <v>1176</v>
      </c>
      <c r="C405" t="s">
        <v>1177</v>
      </c>
      <c r="D405" t="s">
        <v>1176</v>
      </c>
      <c r="E405" s="2" t="s">
        <v>1177</v>
      </c>
      <c r="F405" t="s">
        <v>18</v>
      </c>
      <c r="G405" t="s">
        <v>318</v>
      </c>
      <c r="H405" t="s">
        <v>319</v>
      </c>
      <c r="I405" t="s">
        <v>194</v>
      </c>
      <c r="J405" t="s">
        <v>22</v>
      </c>
      <c r="K405" t="s">
        <v>320</v>
      </c>
      <c r="R405" t="str">
        <f t="shared" si="3"/>
        <v>https://rxnav.nlm.nih.gov/REST/brands?ingredientids=24941+4511+14054+1925821</v>
      </c>
    </row>
    <row r="406" spans="1:18" x14ac:dyDescent="0.25">
      <c r="A406" t="s">
        <v>1175</v>
      </c>
      <c r="B406" t="s">
        <v>1176</v>
      </c>
      <c r="C406" t="s">
        <v>1177</v>
      </c>
      <c r="D406" t="s">
        <v>1176</v>
      </c>
      <c r="E406" s="2" t="s">
        <v>1177</v>
      </c>
      <c r="F406" t="s">
        <v>18</v>
      </c>
      <c r="G406" t="s">
        <v>1181</v>
      </c>
      <c r="H406" t="s">
        <v>1182</v>
      </c>
      <c r="I406" t="s">
        <v>491</v>
      </c>
      <c r="J406" t="s">
        <v>39</v>
      </c>
      <c r="K406" t="s">
        <v>333</v>
      </c>
      <c r="R406" t="str">
        <f t="shared" si="3"/>
        <v>https://rxnav.nlm.nih.gov/REST/brands?ingredientids=24941+4511+14054+1925821+11248</v>
      </c>
    </row>
    <row r="407" spans="1:18" x14ac:dyDescent="0.25">
      <c r="A407" t="s">
        <v>1175</v>
      </c>
      <c r="B407" t="s">
        <v>1176</v>
      </c>
      <c r="C407" t="s">
        <v>1177</v>
      </c>
      <c r="D407" t="s">
        <v>1176</v>
      </c>
      <c r="E407" s="2" t="s">
        <v>1177</v>
      </c>
      <c r="F407" t="s">
        <v>18</v>
      </c>
      <c r="G407" t="s">
        <v>1183</v>
      </c>
      <c r="H407" t="s">
        <v>1184</v>
      </c>
      <c r="I407" t="s">
        <v>1026</v>
      </c>
      <c r="J407" t="s">
        <v>22</v>
      </c>
      <c r="K407" t="s">
        <v>1185</v>
      </c>
      <c r="Q407" t="s">
        <v>41</v>
      </c>
      <c r="R407" t="str">
        <f t="shared" si="3"/>
        <v>https://rxnav.nlm.nih.gov/REST/brands?ingredientids=24941+4511+14054+1925821+11248+1044975</v>
      </c>
    </row>
    <row r="408" spans="1:18" x14ac:dyDescent="0.25">
      <c r="A408" t="s">
        <v>1186</v>
      </c>
      <c r="B408" t="s">
        <v>1187</v>
      </c>
      <c r="C408" t="s">
        <v>1188</v>
      </c>
      <c r="D408" t="s">
        <v>1187</v>
      </c>
      <c r="E408" t="s">
        <v>1189</v>
      </c>
      <c r="F408" t="s">
        <v>18</v>
      </c>
      <c r="G408" t="s">
        <v>712</v>
      </c>
      <c r="H408" t="s">
        <v>713</v>
      </c>
      <c r="I408" t="s">
        <v>307</v>
      </c>
      <c r="J408" t="s">
        <v>22</v>
      </c>
      <c r="K408">
        <v>321064</v>
      </c>
      <c r="L408">
        <v>1008801</v>
      </c>
      <c r="M408" t="s">
        <v>714</v>
      </c>
      <c r="P408">
        <v>999996</v>
      </c>
      <c r="Q408" t="s">
        <v>84</v>
      </c>
    </row>
    <row r="409" spans="1:18" x14ac:dyDescent="0.25">
      <c r="A409" t="s">
        <v>1186</v>
      </c>
      <c r="B409" t="s">
        <v>1187</v>
      </c>
      <c r="C409" t="s">
        <v>1188</v>
      </c>
      <c r="D409" t="s">
        <v>1187</v>
      </c>
      <c r="E409" t="s">
        <v>1189</v>
      </c>
      <c r="F409" t="s">
        <v>18</v>
      </c>
      <c r="G409" t="s">
        <v>368</v>
      </c>
      <c r="H409" t="s">
        <v>369</v>
      </c>
      <c r="I409" t="s">
        <v>711</v>
      </c>
      <c r="J409" t="s">
        <v>22</v>
      </c>
      <c r="K409">
        <v>17767</v>
      </c>
      <c r="L409">
        <v>1008801</v>
      </c>
      <c r="M409" t="s">
        <v>371</v>
      </c>
      <c r="N409">
        <v>329528</v>
      </c>
      <c r="P409">
        <v>999996</v>
      </c>
      <c r="Q409" t="s">
        <v>84</v>
      </c>
    </row>
    <row r="410" spans="1:18" x14ac:dyDescent="0.25">
      <c r="A410" t="s">
        <v>1186</v>
      </c>
      <c r="B410" t="s">
        <v>1187</v>
      </c>
      <c r="C410" t="s">
        <v>1188</v>
      </c>
      <c r="D410" t="s">
        <v>1187</v>
      </c>
      <c r="E410" t="s">
        <v>1189</v>
      </c>
      <c r="F410" t="s">
        <v>18</v>
      </c>
      <c r="G410" t="s">
        <v>881</v>
      </c>
      <c r="H410" t="s">
        <v>882</v>
      </c>
      <c r="I410" t="s">
        <v>883</v>
      </c>
      <c r="J410" t="s">
        <v>22</v>
      </c>
      <c r="K410" t="s">
        <v>884</v>
      </c>
      <c r="L410">
        <v>1008801</v>
      </c>
      <c r="P410">
        <v>999996</v>
      </c>
      <c r="Q410" t="s">
        <v>41</v>
      </c>
    </row>
    <row r="411" spans="1:18" x14ac:dyDescent="0.25">
      <c r="A411" t="s">
        <v>1190</v>
      </c>
      <c r="B411" t="s">
        <v>1191</v>
      </c>
      <c r="C411" t="s">
        <v>1192</v>
      </c>
      <c r="D411" t="s">
        <v>1191</v>
      </c>
      <c r="E411" s="2" t="s">
        <v>1193</v>
      </c>
      <c r="F411" t="s">
        <v>18</v>
      </c>
      <c r="G411" t="s">
        <v>1194</v>
      </c>
      <c r="H411" t="s">
        <v>1195</v>
      </c>
      <c r="I411" t="s">
        <v>1196</v>
      </c>
      <c r="J411" t="s">
        <v>1197</v>
      </c>
      <c r="K411" t="s">
        <v>1198</v>
      </c>
      <c r="Q411" t="s">
        <v>41</v>
      </c>
    </row>
    <row r="412" spans="1:18" x14ac:dyDescent="0.25">
      <c r="A412" t="s">
        <v>1190</v>
      </c>
      <c r="B412" t="s">
        <v>1191</v>
      </c>
      <c r="C412" t="s">
        <v>1192</v>
      </c>
      <c r="D412" t="s">
        <v>1191</v>
      </c>
      <c r="E412" s="2" t="s">
        <v>1193</v>
      </c>
      <c r="F412" t="s">
        <v>18</v>
      </c>
      <c r="G412" t="s">
        <v>1199</v>
      </c>
      <c r="H412" t="s">
        <v>1200</v>
      </c>
      <c r="I412" t="s">
        <v>1201</v>
      </c>
      <c r="J412" t="s">
        <v>1197</v>
      </c>
      <c r="K412" t="s">
        <v>1202</v>
      </c>
      <c r="M412" t="s">
        <v>1203</v>
      </c>
      <c r="Q412" t="s">
        <v>84</v>
      </c>
    </row>
    <row r="413" spans="1:18" x14ac:dyDescent="0.25">
      <c r="A413" t="s">
        <v>1204</v>
      </c>
      <c r="B413" t="s">
        <v>1205</v>
      </c>
      <c r="C413" t="s">
        <v>16</v>
      </c>
      <c r="D413" t="s">
        <v>1205</v>
      </c>
      <c r="E413" t="s">
        <v>1206</v>
      </c>
      <c r="F413" t="s">
        <v>18</v>
      </c>
      <c r="G413" t="s">
        <v>1207</v>
      </c>
      <c r="H413" t="s">
        <v>1208</v>
      </c>
      <c r="I413" t="s">
        <v>738</v>
      </c>
      <c r="J413" t="s">
        <v>22</v>
      </c>
      <c r="K413" t="s">
        <v>1209</v>
      </c>
      <c r="L413">
        <v>1658460</v>
      </c>
      <c r="M413" t="s">
        <v>1210</v>
      </c>
      <c r="N413">
        <v>1551894</v>
      </c>
      <c r="P413">
        <v>1651274</v>
      </c>
      <c r="Q413" t="s">
        <v>84</v>
      </c>
    </row>
    <row r="414" spans="1:18" x14ac:dyDescent="0.25">
      <c r="A414" t="s">
        <v>1204</v>
      </c>
      <c r="B414" t="s">
        <v>1205</v>
      </c>
      <c r="C414" t="s">
        <v>16</v>
      </c>
      <c r="D414" t="s">
        <v>1205</v>
      </c>
      <c r="E414" t="s">
        <v>1206</v>
      </c>
      <c r="F414" t="s">
        <v>18</v>
      </c>
      <c r="G414" t="s">
        <v>1211</v>
      </c>
      <c r="H414" t="s">
        <v>1212</v>
      </c>
      <c r="I414" t="s">
        <v>738</v>
      </c>
      <c r="J414" t="s">
        <v>22</v>
      </c>
      <c r="K414" t="s">
        <v>1213</v>
      </c>
      <c r="L414">
        <v>1658460</v>
      </c>
      <c r="M414" t="s">
        <v>1214</v>
      </c>
      <c r="N414">
        <v>1546076</v>
      </c>
      <c r="P414">
        <v>1651274</v>
      </c>
      <c r="Q414" t="s">
        <v>84</v>
      </c>
    </row>
    <row r="415" spans="1:18" x14ac:dyDescent="0.25">
      <c r="A415" t="s">
        <v>1215</v>
      </c>
      <c r="B415" t="s">
        <v>1216</v>
      </c>
      <c r="C415" t="s">
        <v>16</v>
      </c>
      <c r="D415" t="s">
        <v>1216</v>
      </c>
      <c r="E415" t="s">
        <v>1217</v>
      </c>
      <c r="F415" t="s">
        <v>18</v>
      </c>
      <c r="G415" t="s">
        <v>1218</v>
      </c>
      <c r="H415" t="s">
        <v>1219</v>
      </c>
      <c r="I415" t="s">
        <v>435</v>
      </c>
      <c r="J415" t="s">
        <v>22</v>
      </c>
      <c r="K415" t="s">
        <v>1220</v>
      </c>
      <c r="L415">
        <v>34482</v>
      </c>
      <c r="N415">
        <v>1726202</v>
      </c>
      <c r="P415">
        <v>1726204</v>
      </c>
      <c r="Q415" t="s">
        <v>84</v>
      </c>
    </row>
    <row r="416" spans="1:18" x14ac:dyDescent="0.25">
      <c r="A416" t="s">
        <v>1215</v>
      </c>
      <c r="B416" t="s">
        <v>1216</v>
      </c>
      <c r="C416" t="s">
        <v>16</v>
      </c>
      <c r="D416" t="s">
        <v>1216</v>
      </c>
      <c r="E416" t="s">
        <v>1217</v>
      </c>
      <c r="F416" t="s">
        <v>18</v>
      </c>
      <c r="G416" t="s">
        <v>1221</v>
      </c>
      <c r="H416" t="s">
        <v>1222</v>
      </c>
      <c r="I416" t="s">
        <v>435</v>
      </c>
      <c r="J416" t="s">
        <v>22</v>
      </c>
      <c r="K416" t="s">
        <v>1223</v>
      </c>
      <c r="L416">
        <v>34482</v>
      </c>
      <c r="N416">
        <v>1726201</v>
      </c>
      <c r="P416">
        <v>1726204</v>
      </c>
      <c r="Q416" t="s">
        <v>84</v>
      </c>
    </row>
    <row r="417" spans="1:17" x14ac:dyDescent="0.25">
      <c r="A417" t="s">
        <v>1215</v>
      </c>
      <c r="B417" t="s">
        <v>1216</v>
      </c>
      <c r="C417" t="s">
        <v>16</v>
      </c>
      <c r="D417" t="s">
        <v>1216</v>
      </c>
      <c r="E417" t="s">
        <v>1217</v>
      </c>
      <c r="F417" t="s">
        <v>18</v>
      </c>
      <c r="G417" t="s">
        <v>1218</v>
      </c>
      <c r="H417" t="s">
        <v>1219</v>
      </c>
      <c r="I417" t="s">
        <v>669</v>
      </c>
      <c r="J417" t="s">
        <v>22</v>
      </c>
      <c r="K417" t="s">
        <v>1220</v>
      </c>
      <c r="L417">
        <v>34482</v>
      </c>
      <c r="N417">
        <v>1726213</v>
      </c>
      <c r="P417">
        <v>1726214</v>
      </c>
      <c r="Q417" t="s">
        <v>84</v>
      </c>
    </row>
    <row r="418" spans="1:17" x14ac:dyDescent="0.25">
      <c r="A418" t="s">
        <v>1215</v>
      </c>
      <c r="B418" t="s">
        <v>1216</v>
      </c>
      <c r="C418" t="s">
        <v>16</v>
      </c>
      <c r="D418" t="s">
        <v>1216</v>
      </c>
      <c r="E418" t="s">
        <v>1217</v>
      </c>
      <c r="F418" t="s">
        <v>18</v>
      </c>
      <c r="G418" t="s">
        <v>1221</v>
      </c>
      <c r="H418" t="s">
        <v>1222</v>
      </c>
      <c r="I418" t="s">
        <v>669</v>
      </c>
      <c r="J418" t="s">
        <v>22</v>
      </c>
      <c r="K418" t="s">
        <v>1223</v>
      </c>
      <c r="L418">
        <v>34482</v>
      </c>
      <c r="N418">
        <v>1726212</v>
      </c>
      <c r="P418">
        <v>1726214</v>
      </c>
      <c r="Q418" t="s">
        <v>84</v>
      </c>
    </row>
    <row r="419" spans="1:17" x14ac:dyDescent="0.25">
      <c r="A419" t="s">
        <v>1224</v>
      </c>
      <c r="B419" t="s">
        <v>1225</v>
      </c>
      <c r="C419" t="s">
        <v>1226</v>
      </c>
      <c r="D419" t="s">
        <v>1225</v>
      </c>
      <c r="E419" s="2" t="s">
        <v>1226</v>
      </c>
      <c r="F419" t="s">
        <v>18</v>
      </c>
      <c r="G419" t="s">
        <v>1227</v>
      </c>
      <c r="H419" t="s">
        <v>1228</v>
      </c>
      <c r="I419" t="s">
        <v>1229</v>
      </c>
      <c r="J419" t="s">
        <v>22</v>
      </c>
      <c r="K419">
        <v>18603</v>
      </c>
      <c r="L419">
        <v>1291859</v>
      </c>
      <c r="M419" t="s">
        <v>1230</v>
      </c>
      <c r="Q419" t="s">
        <v>84</v>
      </c>
    </row>
    <row r="420" spans="1:17" x14ac:dyDescent="0.25">
      <c r="A420" t="s">
        <v>1224</v>
      </c>
      <c r="B420" t="s">
        <v>1225</v>
      </c>
      <c r="C420" t="s">
        <v>1226</v>
      </c>
      <c r="D420" t="s">
        <v>1225</v>
      </c>
      <c r="E420" s="2" t="s">
        <v>1226</v>
      </c>
      <c r="F420" t="s">
        <v>18</v>
      </c>
      <c r="G420" t="s">
        <v>433</v>
      </c>
      <c r="H420" t="s">
        <v>434</v>
      </c>
      <c r="I420" t="s">
        <v>506</v>
      </c>
      <c r="J420" t="s">
        <v>22</v>
      </c>
      <c r="K420">
        <v>41126</v>
      </c>
      <c r="L420">
        <v>1291859</v>
      </c>
      <c r="M420">
        <v>50121</v>
      </c>
    </row>
    <row r="421" spans="1:17" x14ac:dyDescent="0.25">
      <c r="A421" t="s">
        <v>1231</v>
      </c>
      <c r="B421" t="s">
        <v>1232</v>
      </c>
      <c r="C421" t="s">
        <v>1233</v>
      </c>
      <c r="D421" t="s">
        <v>1232</v>
      </c>
      <c r="E421" t="s">
        <v>1233</v>
      </c>
      <c r="F421" t="s">
        <v>18</v>
      </c>
      <c r="G421" t="s">
        <v>1234</v>
      </c>
      <c r="H421" t="s">
        <v>1235</v>
      </c>
      <c r="I421" t="s">
        <v>1236</v>
      </c>
      <c r="J421" t="s">
        <v>22</v>
      </c>
      <c r="K421">
        <v>301542</v>
      </c>
      <c r="L421">
        <v>2535748</v>
      </c>
      <c r="M421" t="s">
        <v>1237</v>
      </c>
      <c r="N421">
        <v>2167555</v>
      </c>
      <c r="P421">
        <v>2535750</v>
      </c>
      <c r="Q421" t="s">
        <v>84</v>
      </c>
    </row>
    <row r="422" spans="1:17" x14ac:dyDescent="0.25">
      <c r="A422" t="s">
        <v>1231</v>
      </c>
      <c r="B422" t="s">
        <v>1232</v>
      </c>
      <c r="C422" t="s">
        <v>1233</v>
      </c>
      <c r="D422" t="s">
        <v>1232</v>
      </c>
      <c r="E422" t="s">
        <v>1233</v>
      </c>
      <c r="F422" t="s">
        <v>18</v>
      </c>
      <c r="G422" t="s">
        <v>946</v>
      </c>
      <c r="H422" t="s">
        <v>947</v>
      </c>
      <c r="I422" t="s">
        <v>259</v>
      </c>
      <c r="J422" t="s">
        <v>22</v>
      </c>
      <c r="K422" t="s">
        <v>948</v>
      </c>
      <c r="L422">
        <v>2535748</v>
      </c>
      <c r="N422">
        <v>350671</v>
      </c>
      <c r="P422">
        <v>2535750</v>
      </c>
      <c r="Q422" t="s">
        <v>41</v>
      </c>
    </row>
    <row r="423" spans="1:17" x14ac:dyDescent="0.25">
      <c r="A423" t="s">
        <v>1238</v>
      </c>
      <c r="B423" t="s">
        <v>1239</v>
      </c>
      <c r="C423" t="s">
        <v>16</v>
      </c>
      <c r="D423" t="s">
        <v>1239</v>
      </c>
      <c r="E423" t="s">
        <v>1240</v>
      </c>
      <c r="F423" t="s">
        <v>18</v>
      </c>
      <c r="G423" t="s">
        <v>368</v>
      </c>
      <c r="H423" t="s">
        <v>369</v>
      </c>
      <c r="I423" t="s">
        <v>638</v>
      </c>
      <c r="J423" t="s">
        <v>22</v>
      </c>
      <c r="K423">
        <v>17767</v>
      </c>
      <c r="L423">
        <v>729455</v>
      </c>
      <c r="M423" t="s">
        <v>371</v>
      </c>
      <c r="N423">
        <v>329528</v>
      </c>
      <c r="Q423" t="s">
        <v>84</v>
      </c>
    </row>
    <row r="424" spans="1:17" x14ac:dyDescent="0.25">
      <c r="A424" t="s">
        <v>1238</v>
      </c>
      <c r="B424" t="s">
        <v>1239</v>
      </c>
      <c r="C424" t="s">
        <v>16</v>
      </c>
      <c r="D424" t="s">
        <v>1239</v>
      </c>
      <c r="E424" t="s">
        <v>1240</v>
      </c>
      <c r="F424" t="s">
        <v>18</v>
      </c>
      <c r="G424" t="s">
        <v>639</v>
      </c>
      <c r="H424" t="s">
        <v>640</v>
      </c>
      <c r="I424" t="s">
        <v>465</v>
      </c>
      <c r="J424" t="s">
        <v>22</v>
      </c>
      <c r="K424" t="s">
        <v>641</v>
      </c>
      <c r="L424">
        <v>729455</v>
      </c>
      <c r="N424">
        <v>316882</v>
      </c>
      <c r="Q424" t="s">
        <v>41</v>
      </c>
    </row>
    <row r="425" spans="1:17" x14ac:dyDescent="0.25">
      <c r="A425" t="s">
        <v>1241</v>
      </c>
      <c r="B425" t="s">
        <v>1242</v>
      </c>
      <c r="C425" t="s">
        <v>1243</v>
      </c>
      <c r="D425" t="s">
        <v>1242</v>
      </c>
      <c r="E425" s="2" t="s">
        <v>1244</v>
      </c>
      <c r="F425" t="s">
        <v>18</v>
      </c>
      <c r="G425" t="s">
        <v>1081</v>
      </c>
      <c r="H425" t="s">
        <v>1082</v>
      </c>
      <c r="I425" t="s">
        <v>127</v>
      </c>
      <c r="J425" t="s">
        <v>22</v>
      </c>
      <c r="K425" t="s">
        <v>1083</v>
      </c>
      <c r="L425">
        <v>1243019</v>
      </c>
      <c r="N425">
        <v>1243015</v>
      </c>
      <c r="P425">
        <v>1243034</v>
      </c>
      <c r="Q425" t="s">
        <v>41</v>
      </c>
    </row>
    <row r="426" spans="1:17" x14ac:dyDescent="0.25">
      <c r="A426" t="s">
        <v>1241</v>
      </c>
      <c r="B426" t="s">
        <v>1242</v>
      </c>
      <c r="C426" t="s">
        <v>1243</v>
      </c>
      <c r="D426" t="s">
        <v>1242</v>
      </c>
      <c r="E426" s="2" t="s">
        <v>1244</v>
      </c>
      <c r="F426" t="s">
        <v>18</v>
      </c>
      <c r="G426" t="s">
        <v>667</v>
      </c>
      <c r="H426" t="s">
        <v>668</v>
      </c>
      <c r="I426" t="s">
        <v>1056</v>
      </c>
      <c r="J426" t="s">
        <v>22</v>
      </c>
      <c r="K426" t="s">
        <v>670</v>
      </c>
      <c r="L426">
        <v>1243019</v>
      </c>
      <c r="M426" t="s">
        <v>671</v>
      </c>
      <c r="N426">
        <v>861009</v>
      </c>
      <c r="P426">
        <v>1243034</v>
      </c>
      <c r="Q426" t="s">
        <v>84</v>
      </c>
    </row>
    <row r="427" spans="1:17" x14ac:dyDescent="0.25">
      <c r="A427" t="s">
        <v>1245</v>
      </c>
      <c r="B427" t="s">
        <v>1246</v>
      </c>
      <c r="C427" t="s">
        <v>16</v>
      </c>
      <c r="D427" t="s">
        <v>1246</v>
      </c>
      <c r="E427" t="s">
        <v>1247</v>
      </c>
      <c r="F427" t="s">
        <v>18</v>
      </c>
      <c r="G427" t="s">
        <v>723</v>
      </c>
      <c r="H427" t="s">
        <v>724</v>
      </c>
      <c r="I427" t="s">
        <v>465</v>
      </c>
      <c r="J427" t="s">
        <v>22</v>
      </c>
      <c r="K427" t="s">
        <v>725</v>
      </c>
      <c r="L427">
        <v>901212</v>
      </c>
      <c r="N427">
        <v>316765</v>
      </c>
      <c r="P427">
        <v>876529</v>
      </c>
      <c r="Q427" t="s">
        <v>41</v>
      </c>
    </row>
    <row r="428" spans="1:17" x14ac:dyDescent="0.25">
      <c r="A428" t="s">
        <v>1245</v>
      </c>
      <c r="B428" t="s">
        <v>1246</v>
      </c>
      <c r="C428" t="s">
        <v>16</v>
      </c>
      <c r="D428" t="s">
        <v>1246</v>
      </c>
      <c r="E428" t="s">
        <v>1247</v>
      </c>
      <c r="F428" t="s">
        <v>18</v>
      </c>
      <c r="G428" t="s">
        <v>368</v>
      </c>
      <c r="H428" t="s">
        <v>369</v>
      </c>
      <c r="I428" t="s">
        <v>1248</v>
      </c>
      <c r="J428" t="s">
        <v>22</v>
      </c>
      <c r="K428">
        <v>17767</v>
      </c>
      <c r="L428">
        <v>901212</v>
      </c>
      <c r="M428" t="s">
        <v>371</v>
      </c>
      <c r="N428">
        <v>329528</v>
      </c>
      <c r="P428">
        <v>876529</v>
      </c>
      <c r="Q428" t="s">
        <v>84</v>
      </c>
    </row>
    <row r="429" spans="1:17" x14ac:dyDescent="0.25">
      <c r="A429" t="s">
        <v>1249</v>
      </c>
      <c r="B429" t="s">
        <v>1250</v>
      </c>
      <c r="C429" t="s">
        <v>16</v>
      </c>
      <c r="D429" t="s">
        <v>1250</v>
      </c>
      <c r="E429" t="s">
        <v>1251</v>
      </c>
      <c r="F429" t="s">
        <v>18</v>
      </c>
      <c r="G429" t="s">
        <v>678</v>
      </c>
      <c r="H429" t="s">
        <v>679</v>
      </c>
      <c r="I429" t="s">
        <v>343</v>
      </c>
      <c r="J429" t="s">
        <v>22</v>
      </c>
      <c r="K429" t="s">
        <v>681</v>
      </c>
      <c r="L429">
        <v>352362</v>
      </c>
    </row>
    <row r="430" spans="1:17" x14ac:dyDescent="0.25">
      <c r="A430" t="s">
        <v>1249</v>
      </c>
      <c r="B430" t="s">
        <v>1250</v>
      </c>
      <c r="C430" t="s">
        <v>16</v>
      </c>
      <c r="D430" t="s">
        <v>1250</v>
      </c>
      <c r="E430" t="s">
        <v>1251</v>
      </c>
      <c r="F430" t="s">
        <v>18</v>
      </c>
      <c r="G430" t="s">
        <v>390</v>
      </c>
      <c r="H430" t="s">
        <v>391</v>
      </c>
      <c r="I430" t="s">
        <v>1252</v>
      </c>
      <c r="J430" t="s">
        <v>22</v>
      </c>
      <c r="K430" t="s">
        <v>393</v>
      </c>
      <c r="L430">
        <v>352362</v>
      </c>
      <c r="Q430" t="s">
        <v>41</v>
      </c>
    </row>
    <row r="431" spans="1:17" x14ac:dyDescent="0.25">
      <c r="A431" t="s">
        <v>1253</v>
      </c>
      <c r="B431" t="s">
        <v>1254</v>
      </c>
      <c r="C431" t="s">
        <v>16</v>
      </c>
      <c r="D431" t="s">
        <v>1254</v>
      </c>
      <c r="E431" s="2" t="s">
        <v>1255</v>
      </c>
      <c r="F431" t="s">
        <v>18</v>
      </c>
      <c r="G431" t="s">
        <v>1382</v>
      </c>
      <c r="H431" t="s">
        <v>264</v>
      </c>
      <c r="I431" t="s">
        <v>171</v>
      </c>
      <c r="J431" t="s">
        <v>22</v>
      </c>
      <c r="K431">
        <v>4582</v>
      </c>
    </row>
    <row r="432" spans="1:17" x14ac:dyDescent="0.25">
      <c r="A432" t="s">
        <v>1253</v>
      </c>
      <c r="B432" t="s">
        <v>1254</v>
      </c>
      <c r="C432" t="s">
        <v>16</v>
      </c>
      <c r="D432" t="s">
        <v>1254</v>
      </c>
      <c r="E432" s="2" t="s">
        <v>1255</v>
      </c>
      <c r="F432" t="s">
        <v>18</v>
      </c>
      <c r="G432" t="s">
        <v>1256</v>
      </c>
      <c r="H432" t="s">
        <v>1257</v>
      </c>
      <c r="I432" t="s">
        <v>1258</v>
      </c>
      <c r="J432" t="s">
        <v>22</v>
      </c>
    </row>
    <row r="433" spans="1:17" x14ac:dyDescent="0.25">
      <c r="A433" t="s">
        <v>1253</v>
      </c>
      <c r="B433" t="s">
        <v>1254</v>
      </c>
      <c r="C433" t="s">
        <v>16</v>
      </c>
      <c r="D433" t="s">
        <v>1254</v>
      </c>
      <c r="E433" s="2" t="s">
        <v>1255</v>
      </c>
      <c r="F433" t="s">
        <v>18</v>
      </c>
      <c r="G433" t="s">
        <v>1417</v>
      </c>
      <c r="H433" t="s">
        <v>1259</v>
      </c>
      <c r="I433" t="s">
        <v>1260</v>
      </c>
      <c r="J433" t="s">
        <v>22</v>
      </c>
    </row>
    <row r="434" spans="1:17" x14ac:dyDescent="0.25">
      <c r="A434" t="s">
        <v>1253</v>
      </c>
      <c r="B434" t="s">
        <v>1254</v>
      </c>
      <c r="C434" t="s">
        <v>16</v>
      </c>
      <c r="D434" t="s">
        <v>1254</v>
      </c>
      <c r="E434" s="2" t="s">
        <v>1255</v>
      </c>
      <c r="F434" t="s">
        <v>18</v>
      </c>
      <c r="G434" t="s">
        <v>1418</v>
      </c>
      <c r="H434" t="s">
        <v>1261</v>
      </c>
      <c r="I434" t="s">
        <v>337</v>
      </c>
      <c r="J434" t="s">
        <v>1262</v>
      </c>
    </row>
    <row r="435" spans="1:17" x14ac:dyDescent="0.25">
      <c r="A435" t="s">
        <v>1263</v>
      </c>
      <c r="B435" t="s">
        <v>1264</v>
      </c>
      <c r="C435" t="s">
        <v>1265</v>
      </c>
      <c r="D435" t="s">
        <v>1264</v>
      </c>
      <c r="E435" t="s">
        <v>1265</v>
      </c>
      <c r="F435" t="s">
        <v>18</v>
      </c>
      <c r="G435" t="s">
        <v>1266</v>
      </c>
      <c r="H435" t="s">
        <v>1267</v>
      </c>
      <c r="I435" t="s">
        <v>461</v>
      </c>
      <c r="J435" t="s">
        <v>22</v>
      </c>
    </row>
    <row r="436" spans="1:17" x14ac:dyDescent="0.25">
      <c r="A436" t="s">
        <v>1263</v>
      </c>
      <c r="B436" t="s">
        <v>1264</v>
      </c>
      <c r="C436" t="s">
        <v>1265</v>
      </c>
      <c r="D436" t="s">
        <v>1264</v>
      </c>
      <c r="E436" t="s">
        <v>1265</v>
      </c>
      <c r="F436" t="s">
        <v>18</v>
      </c>
      <c r="G436" t="s">
        <v>1268</v>
      </c>
      <c r="H436" t="s">
        <v>1269</v>
      </c>
      <c r="I436" t="s">
        <v>259</v>
      </c>
      <c r="J436" t="s">
        <v>22</v>
      </c>
    </row>
    <row r="437" spans="1:17" x14ac:dyDescent="0.25">
      <c r="A437" t="s">
        <v>1263</v>
      </c>
      <c r="B437" t="s">
        <v>1264</v>
      </c>
      <c r="C437" t="s">
        <v>1265</v>
      </c>
      <c r="D437" t="s">
        <v>1264</v>
      </c>
      <c r="E437" t="s">
        <v>1265</v>
      </c>
      <c r="F437" t="s">
        <v>18</v>
      </c>
      <c r="G437" t="s">
        <v>1270</v>
      </c>
      <c r="H437" t="s">
        <v>1271</v>
      </c>
      <c r="I437" t="s">
        <v>1272</v>
      </c>
      <c r="J437" t="s">
        <v>22</v>
      </c>
      <c r="M437" t="s">
        <v>817</v>
      </c>
    </row>
    <row r="438" spans="1:17" x14ac:dyDescent="0.25">
      <c r="A438" t="s">
        <v>1273</v>
      </c>
      <c r="B438" t="s">
        <v>1274</v>
      </c>
      <c r="C438" t="s">
        <v>16</v>
      </c>
      <c r="D438" t="s">
        <v>1274</v>
      </c>
      <c r="E438" t="s">
        <v>1275</v>
      </c>
      <c r="F438" t="s">
        <v>18</v>
      </c>
      <c r="G438" t="s">
        <v>489</v>
      </c>
      <c r="H438" t="s">
        <v>490</v>
      </c>
      <c r="I438" t="s">
        <v>997</v>
      </c>
      <c r="J438" t="s">
        <v>22</v>
      </c>
      <c r="K438">
        <v>8339</v>
      </c>
      <c r="L438">
        <v>74169</v>
      </c>
      <c r="M438" t="s">
        <v>492</v>
      </c>
      <c r="N438">
        <v>1659128</v>
      </c>
      <c r="P438">
        <v>1659131</v>
      </c>
    </row>
    <row r="439" spans="1:17" x14ac:dyDescent="0.25">
      <c r="A439" t="s">
        <v>1273</v>
      </c>
      <c r="B439" t="s">
        <v>1274</v>
      </c>
      <c r="C439" t="s">
        <v>16</v>
      </c>
      <c r="D439" t="s">
        <v>1274</v>
      </c>
      <c r="E439" t="s">
        <v>1275</v>
      </c>
      <c r="F439" t="s">
        <v>18</v>
      </c>
      <c r="G439" t="s">
        <v>493</v>
      </c>
      <c r="H439" t="s">
        <v>494</v>
      </c>
      <c r="I439" t="s">
        <v>435</v>
      </c>
      <c r="J439" t="s">
        <v>22</v>
      </c>
      <c r="K439">
        <v>37617</v>
      </c>
      <c r="L439">
        <v>74169</v>
      </c>
      <c r="M439" t="s">
        <v>496</v>
      </c>
      <c r="N439">
        <v>1659129</v>
      </c>
      <c r="P439">
        <v>1659131</v>
      </c>
    </row>
    <row r="440" spans="1:17" x14ac:dyDescent="0.25">
      <c r="A440" t="s">
        <v>1273</v>
      </c>
      <c r="B440" t="s">
        <v>1274</v>
      </c>
      <c r="C440" t="s">
        <v>16</v>
      </c>
      <c r="D440" t="s">
        <v>1274</v>
      </c>
      <c r="E440" t="s">
        <v>1275</v>
      </c>
      <c r="F440" t="s">
        <v>18</v>
      </c>
      <c r="G440" t="s">
        <v>489</v>
      </c>
      <c r="H440" t="s">
        <v>490</v>
      </c>
      <c r="I440" t="s">
        <v>1276</v>
      </c>
      <c r="J440" t="s">
        <v>22</v>
      </c>
      <c r="K440">
        <v>8339</v>
      </c>
      <c r="L440">
        <v>74169</v>
      </c>
      <c r="M440" t="s">
        <v>492</v>
      </c>
      <c r="N440">
        <v>1659148</v>
      </c>
      <c r="P440">
        <v>1659149</v>
      </c>
    </row>
    <row r="441" spans="1:17" x14ac:dyDescent="0.25">
      <c r="A441" t="s">
        <v>1273</v>
      </c>
      <c r="B441" t="s">
        <v>1274</v>
      </c>
      <c r="C441" t="s">
        <v>16</v>
      </c>
      <c r="D441" t="s">
        <v>1274</v>
      </c>
      <c r="E441" t="s">
        <v>1275</v>
      </c>
      <c r="F441" t="s">
        <v>18</v>
      </c>
      <c r="G441" t="s">
        <v>493</v>
      </c>
      <c r="H441" t="s">
        <v>494</v>
      </c>
      <c r="I441" t="s">
        <v>669</v>
      </c>
      <c r="J441" t="s">
        <v>22</v>
      </c>
      <c r="K441">
        <v>37617</v>
      </c>
      <c r="L441">
        <v>74169</v>
      </c>
      <c r="M441" t="s">
        <v>496</v>
      </c>
      <c r="N441">
        <v>1656793</v>
      </c>
      <c r="P441">
        <v>1659149</v>
      </c>
    </row>
    <row r="442" spans="1:17" x14ac:dyDescent="0.25">
      <c r="A442" t="s">
        <v>1273</v>
      </c>
      <c r="B442" t="s">
        <v>1274</v>
      </c>
      <c r="C442" t="s">
        <v>16</v>
      </c>
      <c r="D442" t="s">
        <v>1274</v>
      </c>
      <c r="E442" t="s">
        <v>1275</v>
      </c>
      <c r="F442" t="s">
        <v>18</v>
      </c>
      <c r="G442" t="s">
        <v>489</v>
      </c>
      <c r="H442" t="s">
        <v>490</v>
      </c>
      <c r="I442" t="s">
        <v>1277</v>
      </c>
      <c r="J442" t="s">
        <v>22</v>
      </c>
      <c r="K442">
        <v>8339</v>
      </c>
      <c r="L442">
        <v>74169</v>
      </c>
      <c r="M442" t="s">
        <v>492</v>
      </c>
      <c r="N442">
        <v>1659135</v>
      </c>
      <c r="P442">
        <v>1659137</v>
      </c>
    </row>
    <row r="443" spans="1:17" x14ac:dyDescent="0.25">
      <c r="A443" t="s">
        <v>1273</v>
      </c>
      <c r="B443" t="s">
        <v>1274</v>
      </c>
      <c r="C443" t="s">
        <v>16</v>
      </c>
      <c r="D443" t="s">
        <v>1274</v>
      </c>
      <c r="E443" t="s">
        <v>1275</v>
      </c>
      <c r="F443" t="s">
        <v>18</v>
      </c>
      <c r="G443" t="s">
        <v>493</v>
      </c>
      <c r="H443" t="s">
        <v>494</v>
      </c>
      <c r="I443" t="s">
        <v>1278</v>
      </c>
      <c r="J443" t="s">
        <v>22</v>
      </c>
      <c r="K443">
        <v>37617</v>
      </c>
      <c r="L443">
        <v>74169</v>
      </c>
      <c r="M443" t="s">
        <v>496</v>
      </c>
      <c r="N443">
        <v>1659136</v>
      </c>
      <c r="P443">
        <v>1659137</v>
      </c>
    </row>
    <row r="444" spans="1:17" x14ac:dyDescent="0.25">
      <c r="A444" t="s">
        <v>1279</v>
      </c>
      <c r="B444" t="s">
        <v>1280</v>
      </c>
      <c r="C444" t="s">
        <v>16</v>
      </c>
      <c r="D444" t="s">
        <v>1280</v>
      </c>
      <c r="E444" t="s">
        <v>1281</v>
      </c>
      <c r="F444" t="s">
        <v>18</v>
      </c>
      <c r="G444" t="s">
        <v>648</v>
      </c>
      <c r="H444" t="s">
        <v>649</v>
      </c>
      <c r="I444" t="s">
        <v>221</v>
      </c>
      <c r="J444" t="s">
        <v>52</v>
      </c>
      <c r="K444" t="s">
        <v>650</v>
      </c>
      <c r="M444" t="s">
        <v>172</v>
      </c>
      <c r="Q444" t="s">
        <v>84</v>
      </c>
    </row>
    <row r="445" spans="1:17" x14ac:dyDescent="0.25">
      <c r="A445" t="s">
        <v>1279</v>
      </c>
      <c r="B445" t="s">
        <v>1280</v>
      </c>
      <c r="C445" t="s">
        <v>16</v>
      </c>
      <c r="D445" t="s">
        <v>1280</v>
      </c>
      <c r="E445" t="s">
        <v>1281</v>
      </c>
      <c r="F445" t="s">
        <v>18</v>
      </c>
      <c r="G445" t="s">
        <v>76</v>
      </c>
      <c r="H445" t="s">
        <v>77</v>
      </c>
      <c r="I445" t="s">
        <v>1282</v>
      </c>
      <c r="J445" t="s">
        <v>52</v>
      </c>
      <c r="K445" t="s">
        <v>79</v>
      </c>
      <c r="Q445" t="s">
        <v>41</v>
      </c>
    </row>
    <row r="446" spans="1:17" x14ac:dyDescent="0.25">
      <c r="A446" t="s">
        <v>1283</v>
      </c>
      <c r="B446" t="s">
        <v>1284</v>
      </c>
      <c r="C446" t="s">
        <v>16</v>
      </c>
      <c r="D446" t="s">
        <v>1284</v>
      </c>
      <c r="E446" s="2" t="s">
        <v>1285</v>
      </c>
      <c r="F446" t="s">
        <v>18</v>
      </c>
      <c r="G446" t="s">
        <v>1286</v>
      </c>
      <c r="H446" t="s">
        <v>1287</v>
      </c>
      <c r="I446" t="s">
        <v>1288</v>
      </c>
      <c r="J446" t="s">
        <v>1122</v>
      </c>
      <c r="K446">
        <v>21009</v>
      </c>
    </row>
    <row r="447" spans="1:17" x14ac:dyDescent="0.25">
      <c r="A447" t="s">
        <v>1283</v>
      </c>
      <c r="B447" t="s">
        <v>1284</v>
      </c>
      <c r="C447" t="s">
        <v>16</v>
      </c>
      <c r="D447" t="s">
        <v>1284</v>
      </c>
      <c r="E447" s="2" t="s">
        <v>1285</v>
      </c>
      <c r="F447" t="s">
        <v>18</v>
      </c>
      <c r="G447" t="s">
        <v>1289</v>
      </c>
      <c r="H447" t="s">
        <v>1290</v>
      </c>
      <c r="I447" t="s">
        <v>1291</v>
      </c>
      <c r="J447" t="s">
        <v>1122</v>
      </c>
      <c r="K447">
        <v>150596</v>
      </c>
    </row>
    <row r="448" spans="1:17" x14ac:dyDescent="0.25">
      <c r="A448" t="s">
        <v>1283</v>
      </c>
      <c r="B448" t="s">
        <v>1284</v>
      </c>
      <c r="C448" t="s">
        <v>16</v>
      </c>
      <c r="D448" t="s">
        <v>1284</v>
      </c>
      <c r="E448" s="2" t="s">
        <v>1285</v>
      </c>
      <c r="F448" t="s">
        <v>18</v>
      </c>
      <c r="G448" t="s">
        <v>1419</v>
      </c>
      <c r="H448" t="s">
        <v>1292</v>
      </c>
      <c r="I448" t="s">
        <v>1293</v>
      </c>
      <c r="J448" t="s">
        <v>22</v>
      </c>
      <c r="K448">
        <v>24898</v>
      </c>
      <c r="M448" t="s">
        <v>1294</v>
      </c>
    </row>
    <row r="449" spans="1:17" x14ac:dyDescent="0.25">
      <c r="A449" t="s">
        <v>1283</v>
      </c>
      <c r="B449" t="s">
        <v>1284</v>
      </c>
      <c r="C449" t="s">
        <v>16</v>
      </c>
      <c r="D449" t="s">
        <v>1284</v>
      </c>
      <c r="E449" s="2" t="s">
        <v>1285</v>
      </c>
      <c r="F449" t="s">
        <v>18</v>
      </c>
      <c r="G449" t="s">
        <v>1420</v>
      </c>
      <c r="H449" t="s">
        <v>1295</v>
      </c>
      <c r="I449" t="s">
        <v>1296</v>
      </c>
      <c r="J449" t="s">
        <v>1122</v>
      </c>
      <c r="K449">
        <v>29261</v>
      </c>
    </row>
    <row r="450" spans="1:17" x14ac:dyDescent="0.25">
      <c r="A450" t="s">
        <v>1283</v>
      </c>
      <c r="B450" t="s">
        <v>1284</v>
      </c>
      <c r="C450" t="s">
        <v>16</v>
      </c>
      <c r="D450" t="s">
        <v>1284</v>
      </c>
      <c r="E450" s="2" t="s">
        <v>1285</v>
      </c>
      <c r="F450" t="s">
        <v>18</v>
      </c>
      <c r="G450" t="s">
        <v>1297</v>
      </c>
      <c r="H450" t="s">
        <v>1298</v>
      </c>
      <c r="I450" t="s">
        <v>1299</v>
      </c>
      <c r="J450" t="s">
        <v>1122</v>
      </c>
      <c r="K450" t="s">
        <v>1300</v>
      </c>
      <c r="Q450" t="s">
        <v>41</v>
      </c>
    </row>
    <row r="451" spans="1:17" x14ac:dyDescent="0.25">
      <c r="A451" t="s">
        <v>1283</v>
      </c>
      <c r="B451" t="s">
        <v>1284</v>
      </c>
      <c r="C451" t="s">
        <v>16</v>
      </c>
      <c r="D451" t="s">
        <v>1284</v>
      </c>
      <c r="E451" s="2" t="s">
        <v>1285</v>
      </c>
      <c r="F451" t="s">
        <v>18</v>
      </c>
      <c r="G451" t="s">
        <v>1301</v>
      </c>
      <c r="H451" t="s">
        <v>1302</v>
      </c>
      <c r="I451" t="s">
        <v>1303</v>
      </c>
      <c r="J451" t="s">
        <v>22</v>
      </c>
      <c r="K451" t="s">
        <v>1304</v>
      </c>
      <c r="M451" t="s">
        <v>1305</v>
      </c>
      <c r="Q451" t="s">
        <v>84</v>
      </c>
    </row>
    <row r="452" spans="1:17" x14ac:dyDescent="0.25">
      <c r="A452" t="s">
        <v>1283</v>
      </c>
      <c r="B452" t="s">
        <v>1284</v>
      </c>
      <c r="C452" t="s">
        <v>16</v>
      </c>
      <c r="D452" t="s">
        <v>1284</v>
      </c>
      <c r="E452" s="2" t="s">
        <v>1285</v>
      </c>
      <c r="F452" t="s">
        <v>18</v>
      </c>
      <c r="G452" t="s">
        <v>1306</v>
      </c>
      <c r="H452" t="s">
        <v>1307</v>
      </c>
      <c r="I452" t="s">
        <v>1308</v>
      </c>
      <c r="J452" t="s">
        <v>1122</v>
      </c>
      <c r="K452">
        <v>7024</v>
      </c>
      <c r="M452" t="s">
        <v>1309</v>
      </c>
    </row>
    <row r="453" spans="1:17" x14ac:dyDescent="0.25">
      <c r="A453" t="s">
        <v>1283</v>
      </c>
      <c r="B453" t="s">
        <v>1284</v>
      </c>
      <c r="C453" t="s">
        <v>16</v>
      </c>
      <c r="D453" t="s">
        <v>1284</v>
      </c>
      <c r="E453" s="2" t="s">
        <v>1285</v>
      </c>
      <c r="F453" t="s">
        <v>18</v>
      </c>
      <c r="G453" t="s">
        <v>1310</v>
      </c>
      <c r="H453" t="s">
        <v>1311</v>
      </c>
      <c r="I453" t="s">
        <v>1312</v>
      </c>
      <c r="J453" t="s">
        <v>22</v>
      </c>
      <c r="K453" t="s">
        <v>1313</v>
      </c>
      <c r="Q453" t="s">
        <v>41</v>
      </c>
    </row>
    <row r="454" spans="1:17" x14ac:dyDescent="0.25">
      <c r="A454" t="s">
        <v>1283</v>
      </c>
      <c r="B454" t="s">
        <v>1284</v>
      </c>
      <c r="C454" t="s">
        <v>16</v>
      </c>
      <c r="D454" t="s">
        <v>1284</v>
      </c>
      <c r="E454" s="2" t="s">
        <v>1285</v>
      </c>
      <c r="F454" t="s">
        <v>18</v>
      </c>
      <c r="G454" t="s">
        <v>1314</v>
      </c>
      <c r="H454" t="s">
        <v>1315</v>
      </c>
      <c r="I454" t="s">
        <v>1316</v>
      </c>
      <c r="J454" t="s">
        <v>1122</v>
      </c>
      <c r="K454">
        <v>9640</v>
      </c>
      <c r="M454">
        <v>56519</v>
      </c>
    </row>
    <row r="455" spans="1:17" x14ac:dyDescent="0.25">
      <c r="A455" t="s">
        <v>1317</v>
      </c>
      <c r="B455" t="s">
        <v>1318</v>
      </c>
      <c r="C455" t="s">
        <v>1319</v>
      </c>
      <c r="D455" t="s">
        <v>1318</v>
      </c>
      <c r="E455" t="s">
        <v>1319</v>
      </c>
      <c r="F455" t="s">
        <v>18</v>
      </c>
      <c r="G455" t="s">
        <v>1107</v>
      </c>
      <c r="H455" t="s">
        <v>1108</v>
      </c>
      <c r="I455" t="s">
        <v>669</v>
      </c>
      <c r="J455" t="s">
        <v>22</v>
      </c>
      <c r="K455">
        <v>2184</v>
      </c>
      <c r="M455" t="s">
        <v>1109</v>
      </c>
    </row>
    <row r="456" spans="1:17" x14ac:dyDescent="0.25">
      <c r="A456" t="s">
        <v>1317</v>
      </c>
      <c r="B456" t="s">
        <v>1318</v>
      </c>
      <c r="C456" t="s">
        <v>1319</v>
      </c>
      <c r="D456" t="s">
        <v>1318</v>
      </c>
      <c r="E456" t="s">
        <v>1319</v>
      </c>
      <c r="F456" t="s">
        <v>18</v>
      </c>
      <c r="G456" t="s">
        <v>896</v>
      </c>
      <c r="H456" t="s">
        <v>897</v>
      </c>
      <c r="I456" t="s">
        <v>669</v>
      </c>
      <c r="J456" t="s">
        <v>22</v>
      </c>
      <c r="K456">
        <v>10167</v>
      </c>
      <c r="M456">
        <v>82100</v>
      </c>
    </row>
    <row r="457" spans="1:17" x14ac:dyDescent="0.25">
      <c r="A457" t="s">
        <v>1317</v>
      </c>
      <c r="B457" t="s">
        <v>1318</v>
      </c>
      <c r="C457" t="s">
        <v>1319</v>
      </c>
      <c r="D457" t="s">
        <v>1318</v>
      </c>
      <c r="E457" t="s">
        <v>1319</v>
      </c>
      <c r="F457" t="s">
        <v>18</v>
      </c>
      <c r="G457" t="s">
        <v>1107</v>
      </c>
      <c r="H457" t="s">
        <v>1108</v>
      </c>
      <c r="I457" t="s">
        <v>194</v>
      </c>
      <c r="J457" t="s">
        <v>52</v>
      </c>
      <c r="K457">
        <v>2184</v>
      </c>
      <c r="M457" t="s">
        <v>1109</v>
      </c>
    </row>
    <row r="458" spans="1:17" x14ac:dyDescent="0.25">
      <c r="A458" t="s">
        <v>1317</v>
      </c>
      <c r="B458" t="s">
        <v>1318</v>
      </c>
      <c r="C458" t="s">
        <v>1319</v>
      </c>
      <c r="D458" t="s">
        <v>1318</v>
      </c>
      <c r="E458" t="s">
        <v>1319</v>
      </c>
      <c r="F458" t="s">
        <v>18</v>
      </c>
      <c r="G458" t="s">
        <v>896</v>
      </c>
      <c r="H458" t="s">
        <v>897</v>
      </c>
      <c r="I458" t="s">
        <v>194</v>
      </c>
      <c r="J458" t="s">
        <v>52</v>
      </c>
      <c r="K458">
        <v>10167</v>
      </c>
      <c r="M458">
        <v>82100</v>
      </c>
    </row>
    <row r="459" spans="1:17" x14ac:dyDescent="0.25">
      <c r="A459" t="s">
        <v>1317</v>
      </c>
      <c r="B459" t="s">
        <v>1318</v>
      </c>
      <c r="C459" t="s">
        <v>1319</v>
      </c>
      <c r="D459" t="s">
        <v>1318</v>
      </c>
      <c r="E459" t="s">
        <v>1319</v>
      </c>
      <c r="F459" t="s">
        <v>18</v>
      </c>
      <c r="G459" t="s">
        <v>1107</v>
      </c>
      <c r="H459" t="s">
        <v>1108</v>
      </c>
      <c r="I459" t="s">
        <v>491</v>
      </c>
      <c r="J459" t="s">
        <v>52</v>
      </c>
      <c r="K459">
        <v>2184</v>
      </c>
      <c r="M459" t="s">
        <v>1109</v>
      </c>
    </row>
    <row r="460" spans="1:17" x14ac:dyDescent="0.25">
      <c r="A460" t="s">
        <v>1317</v>
      </c>
      <c r="B460" t="s">
        <v>1318</v>
      </c>
      <c r="C460" t="s">
        <v>1319</v>
      </c>
      <c r="D460" t="s">
        <v>1318</v>
      </c>
      <c r="E460" t="s">
        <v>1319</v>
      </c>
      <c r="F460" t="s">
        <v>18</v>
      </c>
      <c r="G460" t="s">
        <v>896</v>
      </c>
      <c r="H460" t="s">
        <v>897</v>
      </c>
      <c r="I460" t="s">
        <v>491</v>
      </c>
      <c r="J460" t="s">
        <v>52</v>
      </c>
      <c r="K460">
        <v>10167</v>
      </c>
      <c r="M460">
        <v>82100</v>
      </c>
    </row>
    <row r="461" spans="1:17" x14ac:dyDescent="0.25">
      <c r="A461" t="s">
        <v>1320</v>
      </c>
      <c r="B461" t="s">
        <v>1321</v>
      </c>
      <c r="C461" t="s">
        <v>1322</v>
      </c>
      <c r="D461" t="s">
        <v>1321</v>
      </c>
      <c r="E461" t="s">
        <v>1322</v>
      </c>
      <c r="F461" t="s">
        <v>18</v>
      </c>
      <c r="G461" t="s">
        <v>589</v>
      </c>
      <c r="H461" t="s">
        <v>590</v>
      </c>
      <c r="I461" t="s">
        <v>21</v>
      </c>
      <c r="J461" t="s">
        <v>39</v>
      </c>
      <c r="K461">
        <v>41126</v>
      </c>
      <c r="L461">
        <v>1945038</v>
      </c>
      <c r="M461">
        <v>705022</v>
      </c>
    </row>
    <row r="462" spans="1:17" x14ac:dyDescent="0.25">
      <c r="A462" t="s">
        <v>1320</v>
      </c>
      <c r="B462" t="s">
        <v>1321</v>
      </c>
      <c r="C462" t="s">
        <v>1322</v>
      </c>
      <c r="D462" t="s">
        <v>1321</v>
      </c>
      <c r="E462" t="s">
        <v>1322</v>
      </c>
      <c r="F462" t="s">
        <v>18</v>
      </c>
      <c r="G462" t="s">
        <v>888</v>
      </c>
      <c r="H462" t="s">
        <v>889</v>
      </c>
      <c r="I462" t="s">
        <v>890</v>
      </c>
      <c r="J462" t="s">
        <v>39</v>
      </c>
      <c r="K462">
        <v>1487514</v>
      </c>
      <c r="L462">
        <v>1945038</v>
      </c>
      <c r="M462">
        <v>1487512</v>
      </c>
    </row>
    <row r="463" spans="1:17" x14ac:dyDescent="0.25">
      <c r="A463" t="s">
        <v>1320</v>
      </c>
      <c r="B463" t="s">
        <v>1321</v>
      </c>
      <c r="C463" t="s">
        <v>1322</v>
      </c>
      <c r="D463" t="s">
        <v>1321</v>
      </c>
      <c r="E463" t="s">
        <v>1322</v>
      </c>
      <c r="F463" t="s">
        <v>18</v>
      </c>
      <c r="G463" t="s">
        <v>591</v>
      </c>
      <c r="H463" t="s">
        <v>592</v>
      </c>
      <c r="I463" t="s">
        <v>307</v>
      </c>
      <c r="J463" t="s">
        <v>39</v>
      </c>
      <c r="K463">
        <v>1424884</v>
      </c>
      <c r="L463">
        <v>1945038</v>
      </c>
      <c r="M463">
        <v>1424883</v>
      </c>
    </row>
    <row r="464" spans="1:17" x14ac:dyDescent="0.25">
      <c r="A464" t="s">
        <v>1323</v>
      </c>
      <c r="B464" t="s">
        <v>1324</v>
      </c>
      <c r="C464" t="s">
        <v>16</v>
      </c>
      <c r="D464" t="s">
        <v>1324</v>
      </c>
      <c r="E464" t="s">
        <v>1325</v>
      </c>
      <c r="F464" t="s">
        <v>18</v>
      </c>
      <c r="G464" t="s">
        <v>648</v>
      </c>
      <c r="H464" t="s">
        <v>649</v>
      </c>
      <c r="J464" t="s">
        <v>22</v>
      </c>
      <c r="K464" t="s">
        <v>650</v>
      </c>
      <c r="M464" t="s">
        <v>172</v>
      </c>
      <c r="Q464" t="s">
        <v>84</v>
      </c>
    </row>
    <row r="465" spans="1:17" x14ac:dyDescent="0.25">
      <c r="A465" t="s">
        <v>1323</v>
      </c>
      <c r="B465" t="s">
        <v>1324</v>
      </c>
      <c r="C465" t="s">
        <v>16</v>
      </c>
      <c r="D465" t="s">
        <v>1324</v>
      </c>
      <c r="E465" t="s">
        <v>1325</v>
      </c>
      <c r="F465" t="s">
        <v>18</v>
      </c>
      <c r="G465" t="s">
        <v>76</v>
      </c>
      <c r="H465" t="s">
        <v>77</v>
      </c>
      <c r="J465" t="s">
        <v>22</v>
      </c>
      <c r="K465" t="s">
        <v>79</v>
      </c>
      <c r="Q465" t="s">
        <v>41</v>
      </c>
    </row>
    <row r="466" spans="1:17" x14ac:dyDescent="0.25">
      <c r="A466" t="s">
        <v>1326</v>
      </c>
      <c r="B466" t="s">
        <v>1327</v>
      </c>
      <c r="C466" t="s">
        <v>1328</v>
      </c>
      <c r="D466" t="s">
        <v>1327</v>
      </c>
      <c r="E466" t="s">
        <v>1328</v>
      </c>
      <c r="F466" t="s">
        <v>18</v>
      </c>
      <c r="G466" t="s">
        <v>368</v>
      </c>
      <c r="H466" t="s">
        <v>369</v>
      </c>
      <c r="I466" t="s">
        <v>638</v>
      </c>
      <c r="J466" t="s">
        <v>22</v>
      </c>
      <c r="K466">
        <v>17767</v>
      </c>
      <c r="L466">
        <v>1009015</v>
      </c>
      <c r="M466" t="s">
        <v>371</v>
      </c>
      <c r="N466">
        <v>329528</v>
      </c>
      <c r="P466">
        <v>730872</v>
      </c>
      <c r="Q466" t="s">
        <v>84</v>
      </c>
    </row>
    <row r="467" spans="1:17" x14ac:dyDescent="0.25">
      <c r="A467" t="s">
        <v>1326</v>
      </c>
      <c r="B467" t="s">
        <v>1327</v>
      </c>
      <c r="C467" t="s">
        <v>1328</v>
      </c>
      <c r="D467" t="s">
        <v>1327</v>
      </c>
      <c r="E467" t="s">
        <v>1328</v>
      </c>
      <c r="F467" t="s">
        <v>18</v>
      </c>
      <c r="G467" t="s">
        <v>712</v>
      </c>
      <c r="H467" t="s">
        <v>713</v>
      </c>
      <c r="I467" t="s">
        <v>307</v>
      </c>
      <c r="J467" t="s">
        <v>22</v>
      </c>
      <c r="K467">
        <v>321064</v>
      </c>
      <c r="L467">
        <v>1009015</v>
      </c>
      <c r="M467" t="s">
        <v>714</v>
      </c>
      <c r="N467">
        <v>359114</v>
      </c>
      <c r="P467">
        <v>730872</v>
      </c>
      <c r="Q467" t="s">
        <v>84</v>
      </c>
    </row>
    <row r="468" spans="1:17" x14ac:dyDescent="0.25">
      <c r="A468" t="s">
        <v>1329</v>
      </c>
      <c r="B468" t="s">
        <v>1330</v>
      </c>
      <c r="C468" t="s">
        <v>16</v>
      </c>
      <c r="D468" t="s">
        <v>1330</v>
      </c>
      <c r="E468" s="2" t="s">
        <v>1331</v>
      </c>
      <c r="F468" t="s">
        <v>18</v>
      </c>
      <c r="G468" t="s">
        <v>1332</v>
      </c>
      <c r="H468" t="s">
        <v>1333</v>
      </c>
      <c r="I468" t="s">
        <v>265</v>
      </c>
      <c r="J468" t="s">
        <v>22</v>
      </c>
      <c r="K468" t="s">
        <v>1334</v>
      </c>
      <c r="L468">
        <v>106957</v>
      </c>
      <c r="N468">
        <v>343129</v>
      </c>
      <c r="P468">
        <v>142024</v>
      </c>
      <c r="Q468" t="s">
        <v>41</v>
      </c>
    </row>
    <row r="469" spans="1:17" x14ac:dyDescent="0.25">
      <c r="A469" t="s">
        <v>1329</v>
      </c>
      <c r="B469" t="s">
        <v>1330</v>
      </c>
      <c r="C469" t="s">
        <v>16</v>
      </c>
      <c r="D469" t="s">
        <v>1330</v>
      </c>
      <c r="E469" s="2" t="s">
        <v>1331</v>
      </c>
      <c r="F469" t="s">
        <v>18</v>
      </c>
      <c r="G469" t="s">
        <v>1335</v>
      </c>
      <c r="H469" t="s">
        <v>1336</v>
      </c>
      <c r="I469" t="s">
        <v>127</v>
      </c>
      <c r="J469" t="s">
        <v>22</v>
      </c>
      <c r="K469" t="s">
        <v>1337</v>
      </c>
      <c r="L469">
        <v>106957</v>
      </c>
      <c r="N469">
        <v>343175</v>
      </c>
      <c r="P469">
        <v>142024</v>
      </c>
      <c r="Q469" t="s">
        <v>84</v>
      </c>
    </row>
    <row r="470" spans="1:17" x14ac:dyDescent="0.25">
      <c r="A470" t="s">
        <v>1338</v>
      </c>
      <c r="B470" t="s">
        <v>1339</v>
      </c>
      <c r="C470" t="s">
        <v>1340</v>
      </c>
      <c r="D470" t="s">
        <v>1339</v>
      </c>
      <c r="E470" t="s">
        <v>1340</v>
      </c>
      <c r="F470" t="s">
        <v>18</v>
      </c>
      <c r="G470" t="s">
        <v>1078</v>
      </c>
      <c r="H470" t="s">
        <v>1079</v>
      </c>
      <c r="I470" t="s">
        <v>883</v>
      </c>
      <c r="J470" t="s">
        <v>22</v>
      </c>
      <c r="K470" t="s">
        <v>1080</v>
      </c>
      <c r="L470">
        <v>1664314</v>
      </c>
      <c r="N470">
        <v>1664322</v>
      </c>
      <c r="Q470" t="s">
        <v>41</v>
      </c>
    </row>
    <row r="471" spans="1:17" x14ac:dyDescent="0.25">
      <c r="A471" t="s">
        <v>1338</v>
      </c>
      <c r="B471" t="s">
        <v>1339</v>
      </c>
      <c r="C471" t="s">
        <v>1340</v>
      </c>
      <c r="D471" t="s">
        <v>1339</v>
      </c>
      <c r="E471" t="s">
        <v>1340</v>
      </c>
      <c r="F471" t="s">
        <v>18</v>
      </c>
      <c r="G471" t="s">
        <v>667</v>
      </c>
      <c r="H471" t="s">
        <v>668</v>
      </c>
      <c r="I471" t="s">
        <v>1056</v>
      </c>
      <c r="J471" t="s">
        <v>22</v>
      </c>
      <c r="K471" t="s">
        <v>670</v>
      </c>
      <c r="L471">
        <v>1664314</v>
      </c>
      <c r="M471" t="s">
        <v>671</v>
      </c>
      <c r="Q471" t="s">
        <v>84</v>
      </c>
    </row>
    <row r="472" spans="1:17" x14ac:dyDescent="0.25">
      <c r="A472" t="s">
        <v>1341</v>
      </c>
      <c r="B472" t="s">
        <v>1342</v>
      </c>
      <c r="C472" t="s">
        <v>1343</v>
      </c>
      <c r="D472" t="s">
        <v>1342</v>
      </c>
      <c r="E472" t="s">
        <v>1343</v>
      </c>
      <c r="F472" t="s">
        <v>18</v>
      </c>
      <c r="G472" t="s">
        <v>368</v>
      </c>
      <c r="H472" t="s">
        <v>369</v>
      </c>
      <c r="I472" t="s">
        <v>638</v>
      </c>
      <c r="J472" t="s">
        <v>22</v>
      </c>
      <c r="K472">
        <v>17767</v>
      </c>
      <c r="L472">
        <v>1009015</v>
      </c>
      <c r="M472" t="s">
        <v>371</v>
      </c>
      <c r="N472">
        <v>329528</v>
      </c>
      <c r="P472">
        <v>730869</v>
      </c>
      <c r="Q472" t="s">
        <v>84</v>
      </c>
    </row>
    <row r="473" spans="1:17" x14ac:dyDescent="0.25">
      <c r="A473" t="s">
        <v>1341</v>
      </c>
      <c r="B473" t="s">
        <v>1342</v>
      </c>
      <c r="C473" t="s">
        <v>1343</v>
      </c>
      <c r="D473" t="s">
        <v>1342</v>
      </c>
      <c r="E473" t="s">
        <v>1343</v>
      </c>
      <c r="F473" t="s">
        <v>18</v>
      </c>
      <c r="G473" t="s">
        <v>712</v>
      </c>
      <c r="H473" t="s">
        <v>713</v>
      </c>
      <c r="I473" t="s">
        <v>171</v>
      </c>
      <c r="J473" t="s">
        <v>22</v>
      </c>
      <c r="K473">
        <v>321064</v>
      </c>
      <c r="L473">
        <v>1009015</v>
      </c>
      <c r="M473" t="s">
        <v>714</v>
      </c>
      <c r="N473">
        <v>358775</v>
      </c>
      <c r="P473">
        <v>730869</v>
      </c>
      <c r="Q473" t="s">
        <v>84</v>
      </c>
    </row>
    <row r="474" spans="1:17" x14ac:dyDescent="0.25">
      <c r="A474" t="s">
        <v>1344</v>
      </c>
      <c r="B474" t="s">
        <v>1345</v>
      </c>
      <c r="C474" t="s">
        <v>1346</v>
      </c>
      <c r="D474" t="s">
        <v>1345</v>
      </c>
      <c r="E474" s="2" t="s">
        <v>1346</v>
      </c>
      <c r="F474" t="s">
        <v>18</v>
      </c>
      <c r="G474" t="s">
        <v>314</v>
      </c>
      <c r="H474" t="s">
        <v>315</v>
      </c>
      <c r="I474" t="s">
        <v>265</v>
      </c>
      <c r="J474" t="s">
        <v>22</v>
      </c>
      <c r="K474">
        <v>10454</v>
      </c>
      <c r="M474" t="s">
        <v>317</v>
      </c>
      <c r="Q474" t="s">
        <v>84</v>
      </c>
    </row>
    <row r="475" spans="1:17" x14ac:dyDescent="0.25">
      <c r="A475" t="s">
        <v>1344</v>
      </c>
      <c r="B475" t="s">
        <v>1345</v>
      </c>
      <c r="C475" t="s">
        <v>1346</v>
      </c>
      <c r="D475" t="s">
        <v>1345</v>
      </c>
      <c r="E475" s="2" t="s">
        <v>1346</v>
      </c>
      <c r="F475" t="s">
        <v>18</v>
      </c>
      <c r="G475" t="s">
        <v>318</v>
      </c>
      <c r="H475" t="s">
        <v>319</v>
      </c>
      <c r="I475" t="s">
        <v>221</v>
      </c>
      <c r="J475" t="s">
        <v>22</v>
      </c>
      <c r="K475" t="s">
        <v>320</v>
      </c>
    </row>
    <row r="476" spans="1:17" x14ac:dyDescent="0.25">
      <c r="A476" t="s">
        <v>1344</v>
      </c>
      <c r="B476" t="s">
        <v>1345</v>
      </c>
      <c r="C476" t="s">
        <v>1346</v>
      </c>
      <c r="D476" t="s">
        <v>1345</v>
      </c>
      <c r="E476" s="2" t="s">
        <v>1346</v>
      </c>
      <c r="F476" t="s">
        <v>18</v>
      </c>
      <c r="G476" t="s">
        <v>321</v>
      </c>
      <c r="H476" t="s">
        <v>322</v>
      </c>
      <c r="I476" t="s">
        <v>491</v>
      </c>
      <c r="J476" t="s">
        <v>22</v>
      </c>
      <c r="K476">
        <v>684879</v>
      </c>
      <c r="M476" t="s">
        <v>323</v>
      </c>
    </row>
    <row r="477" spans="1:17" x14ac:dyDescent="0.25">
      <c r="A477" t="s">
        <v>1344</v>
      </c>
      <c r="B477" t="s">
        <v>1345</v>
      </c>
      <c r="C477" t="s">
        <v>1346</v>
      </c>
      <c r="D477" t="s">
        <v>1345</v>
      </c>
      <c r="E477" s="2" t="s">
        <v>1346</v>
      </c>
      <c r="F477" t="s">
        <v>18</v>
      </c>
      <c r="G477" t="s">
        <v>324</v>
      </c>
      <c r="H477" t="s">
        <v>325</v>
      </c>
      <c r="I477" t="s">
        <v>153</v>
      </c>
      <c r="J477" t="s">
        <v>22</v>
      </c>
      <c r="K477">
        <v>7405</v>
      </c>
    </row>
    <row r="478" spans="1:17" x14ac:dyDescent="0.25">
      <c r="A478" t="s">
        <v>1344</v>
      </c>
      <c r="B478" t="s">
        <v>1345</v>
      </c>
      <c r="C478" t="s">
        <v>1346</v>
      </c>
      <c r="D478" t="s">
        <v>1345</v>
      </c>
      <c r="E478" s="2" t="s">
        <v>1346</v>
      </c>
      <c r="F478" t="s">
        <v>18</v>
      </c>
      <c r="G478" t="s">
        <v>1347</v>
      </c>
      <c r="H478" t="s">
        <v>1348</v>
      </c>
      <c r="I478" t="s">
        <v>221</v>
      </c>
      <c r="J478" t="s">
        <v>22</v>
      </c>
      <c r="K478" t="s">
        <v>1349</v>
      </c>
      <c r="Q478" t="s">
        <v>41</v>
      </c>
    </row>
    <row r="479" spans="1:17" x14ac:dyDescent="0.25">
      <c r="A479" t="s">
        <v>1350</v>
      </c>
      <c r="B479" t="s">
        <v>1351</v>
      </c>
      <c r="C479" t="s">
        <v>1352</v>
      </c>
      <c r="D479" t="s">
        <v>1351</v>
      </c>
      <c r="E479" t="s">
        <v>1352</v>
      </c>
      <c r="F479" t="s">
        <v>18</v>
      </c>
      <c r="G479" t="s">
        <v>1353</v>
      </c>
      <c r="H479" t="s">
        <v>1354</v>
      </c>
      <c r="I479" t="s">
        <v>491</v>
      </c>
      <c r="J479" t="s">
        <v>22</v>
      </c>
      <c r="K479">
        <v>11256</v>
      </c>
      <c r="M479" t="s">
        <v>753</v>
      </c>
    </row>
    <row r="480" spans="1:17" x14ac:dyDescent="0.25">
      <c r="A480" t="s">
        <v>1350</v>
      </c>
      <c r="B480" t="s">
        <v>1351</v>
      </c>
      <c r="C480" t="s">
        <v>1352</v>
      </c>
      <c r="D480" t="s">
        <v>1351</v>
      </c>
      <c r="E480" t="s">
        <v>1352</v>
      </c>
      <c r="F480" t="s">
        <v>18</v>
      </c>
      <c r="G480" t="s">
        <v>750</v>
      </c>
      <c r="H480" t="s">
        <v>751</v>
      </c>
      <c r="I480" t="s">
        <v>883</v>
      </c>
      <c r="J480" t="s">
        <v>39</v>
      </c>
      <c r="K480">
        <v>2418</v>
      </c>
    </row>
    <row r="481" spans="1:17" x14ac:dyDescent="0.25">
      <c r="A481" t="s">
        <v>1350</v>
      </c>
      <c r="B481" t="s">
        <v>1351</v>
      </c>
      <c r="C481" t="s">
        <v>1352</v>
      </c>
      <c r="D481" t="s">
        <v>1351</v>
      </c>
      <c r="E481" t="s">
        <v>1352</v>
      </c>
      <c r="F481" t="s">
        <v>18</v>
      </c>
      <c r="G481" t="s">
        <v>1355</v>
      </c>
      <c r="H481" t="s">
        <v>1356</v>
      </c>
      <c r="I481" t="s">
        <v>997</v>
      </c>
      <c r="J481" t="s">
        <v>300</v>
      </c>
      <c r="K481" t="s">
        <v>290</v>
      </c>
    </row>
    <row r="482" spans="1:17" x14ac:dyDescent="0.25">
      <c r="A482" t="s">
        <v>1357</v>
      </c>
      <c r="B482" t="s">
        <v>1358</v>
      </c>
      <c r="C482" t="s">
        <v>1359</v>
      </c>
      <c r="D482" t="s">
        <v>1358</v>
      </c>
      <c r="E482" t="s">
        <v>1360</v>
      </c>
      <c r="F482" t="s">
        <v>18</v>
      </c>
      <c r="G482" t="s">
        <v>459</v>
      </c>
      <c r="H482" t="s">
        <v>460</v>
      </c>
      <c r="I482" t="s">
        <v>307</v>
      </c>
      <c r="J482" t="s">
        <v>22</v>
      </c>
      <c r="K482" t="s">
        <v>462</v>
      </c>
      <c r="L482">
        <v>10831</v>
      </c>
      <c r="N482">
        <v>316745</v>
      </c>
      <c r="P482">
        <v>313134</v>
      </c>
      <c r="Q482" t="s">
        <v>41</v>
      </c>
    </row>
    <row r="483" spans="1:17" x14ac:dyDescent="0.25">
      <c r="A483" t="s">
        <v>1357</v>
      </c>
      <c r="B483" t="s">
        <v>1358</v>
      </c>
      <c r="C483" t="s">
        <v>1359</v>
      </c>
      <c r="D483" t="s">
        <v>1358</v>
      </c>
      <c r="E483" t="s">
        <v>1360</v>
      </c>
      <c r="F483" t="s">
        <v>18</v>
      </c>
      <c r="G483" t="s">
        <v>463</v>
      </c>
      <c r="H483" t="s">
        <v>464</v>
      </c>
      <c r="I483" t="s">
        <v>288</v>
      </c>
      <c r="J483" t="s">
        <v>22</v>
      </c>
      <c r="K483" t="s">
        <v>466</v>
      </c>
      <c r="L483">
        <v>10831</v>
      </c>
      <c r="N483">
        <v>316867</v>
      </c>
      <c r="P483">
        <v>313134</v>
      </c>
      <c r="Q483" t="s">
        <v>84</v>
      </c>
    </row>
    <row r="484" spans="1:17" x14ac:dyDescent="0.25">
      <c r="A484" t="s">
        <v>1361</v>
      </c>
      <c r="B484" t="s">
        <v>1362</v>
      </c>
      <c r="C484" t="s">
        <v>1363</v>
      </c>
      <c r="D484" t="s">
        <v>1362</v>
      </c>
      <c r="E484" s="2" t="s">
        <v>1363</v>
      </c>
      <c r="F484" t="s">
        <v>18</v>
      </c>
      <c r="G484" t="s">
        <v>1364</v>
      </c>
      <c r="H484" t="s">
        <v>1365</v>
      </c>
      <c r="I484" t="s">
        <v>234</v>
      </c>
      <c r="J484" t="s">
        <v>22</v>
      </c>
      <c r="K484">
        <v>9949</v>
      </c>
    </row>
    <row r="485" spans="1:17" x14ac:dyDescent="0.25">
      <c r="A485" t="s">
        <v>1361</v>
      </c>
      <c r="B485" t="s">
        <v>1362</v>
      </c>
      <c r="C485" t="s">
        <v>1363</v>
      </c>
      <c r="D485" t="s">
        <v>1362</v>
      </c>
      <c r="E485" s="2" t="s">
        <v>1363</v>
      </c>
      <c r="F485" t="s">
        <v>18</v>
      </c>
      <c r="G485" t="s">
        <v>1366</v>
      </c>
      <c r="H485" t="s">
        <v>1367</v>
      </c>
      <c r="I485" t="s">
        <v>234</v>
      </c>
      <c r="J485" t="s">
        <v>22</v>
      </c>
      <c r="K485" t="s">
        <v>1368</v>
      </c>
    </row>
    <row r="486" spans="1:17" x14ac:dyDescent="0.25">
      <c r="A486" t="s">
        <v>1361</v>
      </c>
      <c r="B486" t="s">
        <v>1362</v>
      </c>
      <c r="C486" t="s">
        <v>1363</v>
      </c>
      <c r="D486" t="s">
        <v>1362</v>
      </c>
      <c r="E486" s="2" t="s">
        <v>1363</v>
      </c>
      <c r="F486" t="s">
        <v>18</v>
      </c>
      <c r="G486" t="s">
        <v>1369</v>
      </c>
      <c r="H486" t="s">
        <v>1370</v>
      </c>
      <c r="I486" t="s">
        <v>153</v>
      </c>
      <c r="J486" t="s">
        <v>22</v>
      </c>
      <c r="K486" t="s">
        <v>1371</v>
      </c>
      <c r="Q486" t="s">
        <v>41</v>
      </c>
    </row>
    <row r="487" spans="1:17" x14ac:dyDescent="0.25">
      <c r="A487" t="s">
        <v>1361</v>
      </c>
      <c r="B487" t="s">
        <v>1362</v>
      </c>
      <c r="C487" t="s">
        <v>1363</v>
      </c>
      <c r="D487" t="s">
        <v>1362</v>
      </c>
      <c r="E487" s="2" t="s">
        <v>1363</v>
      </c>
      <c r="F487" t="s">
        <v>18</v>
      </c>
      <c r="G487" t="s">
        <v>1421</v>
      </c>
      <c r="H487" t="s">
        <v>1372</v>
      </c>
      <c r="I487" t="s">
        <v>566</v>
      </c>
      <c r="J487" t="s">
        <v>22</v>
      </c>
      <c r="K487">
        <v>2053495</v>
      </c>
    </row>
    <row r="488" spans="1:17" x14ac:dyDescent="0.25">
      <c r="A488" t="s">
        <v>1373</v>
      </c>
      <c r="B488" t="s">
        <v>1374</v>
      </c>
      <c r="C488" t="s">
        <v>1375</v>
      </c>
      <c r="D488" t="s">
        <v>1374</v>
      </c>
      <c r="E488" t="s">
        <v>1375</v>
      </c>
      <c r="F488" t="s">
        <v>18</v>
      </c>
      <c r="G488" t="s">
        <v>989</v>
      </c>
      <c r="H488" t="s">
        <v>990</v>
      </c>
      <c r="I488" t="s">
        <v>221</v>
      </c>
      <c r="J488" t="s">
        <v>22</v>
      </c>
      <c r="K488">
        <v>6915</v>
      </c>
      <c r="L488">
        <v>1008977</v>
      </c>
      <c r="M488" t="s">
        <v>991</v>
      </c>
    </row>
    <row r="489" spans="1:17" x14ac:dyDescent="0.25">
      <c r="A489" t="s">
        <v>1373</v>
      </c>
      <c r="B489" t="s">
        <v>1374</v>
      </c>
      <c r="C489" t="s">
        <v>1375</v>
      </c>
      <c r="D489" t="s">
        <v>1374</v>
      </c>
      <c r="E489" t="s">
        <v>1375</v>
      </c>
      <c r="F489" t="s">
        <v>18</v>
      </c>
      <c r="G489" t="s">
        <v>986</v>
      </c>
      <c r="H489" t="s">
        <v>987</v>
      </c>
      <c r="I489" t="s">
        <v>988</v>
      </c>
      <c r="J489" t="s">
        <v>22</v>
      </c>
      <c r="K489">
        <v>7880</v>
      </c>
      <c r="L489">
        <v>1008977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CHIHWUN FANG</cp:lastModifiedBy>
  <dcterms:created xsi:type="dcterms:W3CDTF">2025-11-12T13:00:23Z</dcterms:created>
  <dcterms:modified xsi:type="dcterms:W3CDTF">2025-11-13T13:58:38Z</dcterms:modified>
</cp:coreProperties>
</file>